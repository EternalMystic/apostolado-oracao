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Início" sheetId="1" state="visible" r:id="rId1"/>
    <sheet xmlns:r="http://schemas.openxmlformats.org/officeDocument/2006/relationships" name="📋 Membros" sheetId="2" state="visible" r:id="rId2"/>
    <sheet xmlns:r="http://schemas.openxmlformats.org/officeDocument/2006/relationships" name="🗺️ Rota de Visitas" sheetId="3" state="visible" r:id="rId3"/>
    <sheet xmlns:r="http://schemas.openxmlformats.org/officeDocument/2006/relationships" name="🎂 Aniversários" sheetId="4" state="visible" r:id="rId4"/>
    <sheet xmlns:r="http://schemas.openxmlformats.org/officeDocument/2006/relationships" name="✝️ Consagrações" sheetId="5" state="visible" r:id="rId5"/>
    <sheet xmlns:r="http://schemas.openxmlformats.org/officeDocument/2006/relationships" name="📦 Entregas" sheetId="6" state="visible" r:id="rId6"/>
    <sheet xmlns:r="http://schemas.openxmlformats.org/officeDocument/2006/relationships" name="🙏 Intenções" sheetId="7" state="visible" r:id="rId7"/>
    <sheet xmlns:r="http://schemas.openxmlformats.org/officeDocument/2006/relationships" name="📅 Agenda" sheetId="8" state="visible" r:id="rId8"/>
    <sheet xmlns:r="http://schemas.openxmlformats.org/officeDocument/2006/relationships" name="⚠️ Inconsistências" sheetId="9" state="visible" r:id="rId9"/>
    <sheet xmlns:r="http://schemas.openxmlformats.org/officeDocument/2006/relationships" name="📊 Relatórios" sheetId="10" state="visible" r:id="rId10"/>
    <sheet xmlns:r="http://schemas.openxmlformats.org/officeDocument/2006/relationships" name="📜 Memorial" sheetId="11" state="visible" r:id="rId11"/>
    <sheet xmlns:r="http://schemas.openxmlformats.org/officeDocument/2006/relationships" name="⚙️ Configurações" sheetId="12" state="visible" r:id="rId12"/>
    <sheet xmlns:r="http://schemas.openxmlformats.org/officeDocument/2006/relationships" name="📝 Instruções" sheetId="13" state="visible" r:id="rId13"/>
  </sheets>
  <definedNames>
    <definedName name="_xlnm._FilterDatabase" localSheetId="1" hidden="1">'📋 Membros'!$A$1:$R$57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AAAA"/>
    <numFmt numFmtId="165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6A1B9A"/>
      <sz val="20"/>
    </font>
    <font>
      <name val="Calibri"/>
      <color rgb="00555555"/>
      <sz val="14"/>
    </font>
    <font>
      <name val="Calibri"/>
      <i val="1"/>
      <sz val="12"/>
    </font>
    <font>
      <name val="Calibri"/>
      <b val="1"/>
      <color rgb="006A1B9A"/>
      <sz val="16"/>
    </font>
    <font>
      <name val="Calibri"/>
      <b val="1"/>
      <sz val="14"/>
    </font>
    <font>
      <name val="Calibri"/>
      <sz val="13"/>
    </font>
    <font>
      <name val="Calibri"/>
      <color rgb="000563C1"/>
      <sz val="13"/>
      <u val="single"/>
    </font>
    <font>
      <name val="Calibri"/>
      <i val="1"/>
      <color rgb="006A1B9A"/>
      <sz val="12"/>
    </font>
    <font>
      <name val="Calibri"/>
      <b val="1"/>
      <color rgb="00FFFFFF"/>
      <sz val="13"/>
    </font>
    <font>
      <name val="Calibri"/>
      <i val="1"/>
      <sz val="11"/>
    </font>
    <font>
      <name val="Calibri"/>
      <b val="1"/>
      <color rgb="00FFFFFF"/>
      <sz val="12"/>
    </font>
    <font>
      <name val="Calibri"/>
      <b val="1"/>
      <color rgb="006A1B9A"/>
      <sz val="12"/>
    </font>
    <font>
      <name val="Calibri"/>
      <b val="1"/>
      <color rgb="006A1B9A"/>
      <sz val="14"/>
    </font>
    <font>
      <name val="Calibri"/>
      <b val="1"/>
    </font>
    <font>
      <name val="Calibri"/>
      <i val="1"/>
      <color rgb="00616161"/>
    </font>
    <font>
      <name val="Calibri"/>
      <i val="1"/>
      <color rgb="006A1B9A"/>
    </font>
  </fonts>
  <fills count="6">
    <fill>
      <patternFill/>
    </fill>
    <fill>
      <patternFill patternType="gray125"/>
    </fill>
    <fill>
      <patternFill patternType="solid">
        <fgColor rgb="006A1B9A"/>
      </patternFill>
    </fill>
    <fill>
      <patternFill patternType="solid">
        <fgColor rgb="00FFFDE7"/>
      </patternFill>
    </fill>
    <fill>
      <patternFill patternType="solid">
        <fgColor rgb="00E1BEE7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0" borderId="0" applyAlignment="1" pivotButton="0" quotePrefix="0" xfId="0">
      <alignment horizontal="center" wrapText="1"/>
    </xf>
    <xf numFmtId="0" fontId="7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0" fillId="3" borderId="0" applyAlignment="1" pivotButton="0" quotePrefix="0" xfId="0">
      <alignment wrapText="1"/>
    </xf>
    <xf numFmtId="0" fontId="11" fillId="2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/>
    </xf>
    <xf numFmtId="0" fontId="10" fillId="0" borderId="0" pivotButton="0" quotePrefix="0" xfId="0"/>
    <xf numFmtId="0" fontId="0" fillId="0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3" fillId="0" borderId="0" pivotButton="0" quotePrefix="0" xfId="0"/>
    <xf numFmtId="0" fontId="15" fillId="5" borderId="0" pivotButton="0" quotePrefix="0" xfId="0"/>
    <xf numFmtId="164" fontId="15" fillId="5" borderId="0" pivotButton="0" quotePrefix="0" xfId="0"/>
    <xf numFmtId="0" fontId="16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9">
    <dxf>
      <font>
        <name val="Calibri"/>
        <color rgb="001B5E20"/>
      </font>
      <fill>
        <patternFill patternType="solid">
          <fgColor rgb="00E8F5E9"/>
        </patternFill>
      </fill>
    </dxf>
    <dxf>
      <font>
        <name val="Calibri"/>
        <color rgb="00424242"/>
      </font>
      <fill>
        <patternFill patternType="solid">
          <fgColor rgb="00E3F2FD"/>
        </patternFill>
      </fill>
    </dxf>
    <dxf>
      <font>
        <name val="Calibri"/>
        <color rgb="00424242"/>
      </font>
      <fill>
        <patternFill patternType="solid">
          <fgColor rgb="00FFF9C4"/>
        </patternFill>
      </fill>
    </dxf>
    <dxf>
      <font>
        <name val="Calibri"/>
        <color rgb="00424242"/>
      </font>
      <fill>
        <patternFill patternType="solid">
          <fgColor rgb="00FFE0B2"/>
        </patternFill>
      </fill>
    </dxf>
    <dxf>
      <font>
        <name val="Calibri"/>
        <color rgb="00424242"/>
      </font>
      <fill>
        <patternFill patternType="solid">
          <fgColor rgb="00F5F5F5"/>
        </patternFill>
      </fill>
    </dxf>
    <dxf>
      <fill>
        <patternFill patternType="solid">
          <fgColor rgb="00FFF8E1"/>
        </patternFill>
      </fill>
    </dxf>
    <dxf>
      <font>
        <name val="Calibri"/>
        <b val="1"/>
      </font>
      <fill>
        <patternFill patternType="solid">
          <fgColor rgb="00E8F5E9"/>
        </patternFill>
      </fill>
    </dxf>
    <dxf>
      <fill>
        <patternFill patternType="solid">
          <fgColor rgb="00E8F5E9"/>
        </patternFill>
      </fill>
    </dxf>
    <dxf>
      <fill>
        <patternFill patternType="solid">
          <f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28203; Membros'!A1" TargetMode="External" Id="rId1"/><Relationship Type="http://schemas.openxmlformats.org/officeDocument/2006/relationships/hyperlink" Target="#'&#128202; Relat&#243;rios'!A1" TargetMode="External" Id="rId2"/><Relationship Type="http://schemas.openxmlformats.org/officeDocument/2006/relationships/hyperlink" Target="#'&#128220; Memorial'!A1" TargetMode="External" Id="rId3"/><Relationship Type="http://schemas.openxmlformats.org/officeDocument/2006/relationships/hyperlink" Target="#'&#9881;&#65039; Configura&#231;&#245;es'!A1" TargetMode="External" Id="rId4"/><Relationship Type="http://schemas.openxmlformats.org/officeDocument/2006/relationships/hyperlink" Target="#'&#128221; Instru&#231;&#245;es'!A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APOSTOLADO DA ORAÇÃO – Nova Odessa, SP</t>
        </is>
      </c>
    </row>
    <row r="2">
      <c r="A2" s="2" t="inlineStr">
        <is>
          <t>Paróquia São Jorge · Diocese de Limeira</t>
        </is>
      </c>
    </row>
    <row r="3">
      <c r="A3" s="3" t="inlineStr">
        <is>
          <t>Comunidades: Santa Luzia · Santa Dulce dos Pobres · N. Sra. de Fátima</t>
        </is>
      </c>
    </row>
    <row r="5">
      <c r="A5" t="inlineStr">
        <is>
          <t>Atualizado em:</t>
        </is>
      </c>
      <c r="B5" s="4">
        <f>HOJE()</f>
        <v/>
      </c>
    </row>
    <row r="7">
      <c r="A7" s="5" t="inlineStr">
        <is>
          <t>Resumo do Apostolado</t>
        </is>
      </c>
    </row>
    <row r="8">
      <c r="A8" s="6" t="inlineStr">
        <is>
          <t>Total de Membros</t>
        </is>
      </c>
      <c r="B8" s="5">
        <f>CONT.NÚM('📋 Membros'!A:A)-1</f>
        <v/>
      </c>
    </row>
    <row r="9">
      <c r="A9" s="6" t="inlineStr">
        <is>
          <t>Ativos</t>
        </is>
      </c>
      <c r="B9" s="5">
        <f>CONT.SE('📋 Membros'!N:N,"Ativo")+CONT.SE('📋 Membros'!N:N,"Ativo (presumido)")</f>
        <v/>
      </c>
    </row>
    <row r="10">
      <c r="A10" s="6" t="inlineStr">
        <is>
          <t>Inativos</t>
        </is>
      </c>
      <c r="B10" s="5">
        <f>CONT.SE('📋 Membros'!N:N,"Inativo")</f>
        <v/>
      </c>
    </row>
    <row r="11">
      <c r="A11" s="6" t="inlineStr">
        <is>
          <t>Desistentes</t>
        </is>
      </c>
      <c r="B11" s="5">
        <f>CONT.SE('📋 Membros'!N:N,"Desistente")</f>
        <v/>
      </c>
    </row>
    <row r="12">
      <c r="A12" s="6" t="inlineStr">
        <is>
          <t>Falecidos</t>
        </is>
      </c>
      <c r="B12" s="5">
        <f>CONT.SE('📋 Membros'!N:N,"Falecida")</f>
        <v/>
      </c>
    </row>
    <row r="13">
      <c r="A13" s="6" t="inlineStr">
        <is>
          <t>Consagrados</t>
        </is>
      </c>
      <c r="B13" s="5">
        <f>CONT.SE('📋 Membros'!O:O,"Sim")</f>
        <v/>
      </c>
    </row>
    <row r="15">
      <c r="A15" s="7" t="inlineStr">
        <is>
          <t>Próximos aniversários: veja a aba 🎂 Aniversários</t>
        </is>
      </c>
    </row>
    <row r="17">
      <c r="A17" s="6" t="inlineStr">
        <is>
          <t>Navegação rápida:</t>
        </is>
      </c>
    </row>
    <row r="18">
      <c r="A18" s="8" t="inlineStr">
        <is>
          <t>"Que o Sagrado Coração de Jesus reine em nossos lares e em nossa comunidade."</t>
        </is>
      </c>
    </row>
    <row r="19"/>
    <row r="20">
      <c r="A20" s="9" t="inlineStr">
        <is>
          <t>📊 Relatórios</t>
        </is>
      </c>
      <c r="B20" s="9" t="inlineStr">
        <is>
          <t>📜 Memorial</t>
        </is>
      </c>
      <c r="C20" s="9" t="inlineStr">
        <is>
          <t>⚙️ Configurações</t>
        </is>
      </c>
      <c r="D20" s="9" t="inlineStr">
        <is>
          <t>📝 Instruções</t>
        </is>
      </c>
    </row>
  </sheetData>
  <mergeCells count="6">
    <mergeCell ref="A3:H3"/>
    <mergeCell ref="A15:H15"/>
    <mergeCell ref="A7:H7"/>
    <mergeCell ref="A2:H2"/>
    <mergeCell ref="A18:H19"/>
    <mergeCell ref="A1:H1"/>
  </mergeCells>
  <hyperlinks>
    <hyperlink xmlns:r="http://schemas.openxmlformats.org/officeDocument/2006/relationships" ref="A18" r:id="rId1"/>
    <hyperlink xmlns:r="http://schemas.openxmlformats.org/officeDocument/2006/relationships" ref="A20" r:id="rId2"/>
    <hyperlink xmlns:r="http://schemas.openxmlformats.org/officeDocument/2006/relationships" ref="B20" r:id="rId3"/>
    <hyperlink xmlns:r="http://schemas.openxmlformats.org/officeDocument/2006/relationships" ref="C20" r:id="rId4"/>
    <hyperlink xmlns:r="http://schemas.openxmlformats.org/officeDocument/2006/relationships" ref="D2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6" customWidth="1" min="2" max="2"/>
    <col width="35" customWidth="1" min="3" max="3"/>
    <col width="8" customWidth="1" min="4" max="4"/>
    <col width="15" customWidth="1" min="5" max="5"/>
    <col width="8" customWidth="1" min="6" max="6"/>
    <col width="15" customWidth="1" min="7" max="7"/>
    <col width="18" customWidth="1" min="8" max="8"/>
    <col width="40" customWidth="1" min="9" max="9"/>
    <col width="20" customWidth="1" min="10" max="10"/>
    <col width="15" customWidth="1" min="11" max="11"/>
    <col width="18" customWidth="1" min="12" max="12"/>
    <col width="40" customWidth="1" min="13" max="13"/>
    <col width="15" customWidth="1" min="14" max="14"/>
    <col width="12" customWidth="1" min="15" max="15"/>
    <col width="15" customWidth="1" min="16" max="16"/>
    <col width="50" customWidth="1" min="17" max="17"/>
    <col width="10" customWidth="1" min="18" max="18"/>
  </cols>
  <sheetData>
    <row r="1">
      <c r="A1" s="10" t="inlineStr">
        <is>
          <t>ID</t>
        </is>
      </c>
      <c r="B1" s="10" t="inlineStr">
        <is>
          <t>Nº Livro</t>
        </is>
      </c>
      <c r="C1" s="10" t="inlineStr">
        <is>
          <t>Nome Completo</t>
        </is>
      </c>
      <c r="D1" s="10" t="inlineStr">
        <is>
          <t>Sexo</t>
        </is>
      </c>
      <c r="E1" s="10" t="inlineStr">
        <is>
          <t>Data Nasc.</t>
        </is>
      </c>
      <c r="F1" s="10" t="inlineStr">
        <is>
          <t>Idade</t>
        </is>
      </c>
      <c r="G1" s="10" t="inlineStr">
        <is>
          <t>Data Ingresso</t>
        </is>
      </c>
      <c r="H1" s="10" t="inlineStr">
        <is>
          <t>Tempo Apostolado (anos)</t>
        </is>
      </c>
      <c r="I1" s="10" t="inlineStr">
        <is>
          <t>Endereço</t>
        </is>
      </c>
      <c r="J1" s="10" t="inlineStr">
        <is>
          <t>Bairro</t>
        </is>
      </c>
      <c r="K1" s="10" t="inlineStr">
        <is>
          <t>Cidade</t>
        </is>
      </c>
      <c r="L1" s="10" t="inlineStr">
        <is>
          <t>Telefone</t>
        </is>
      </c>
      <c r="M1" s="10" t="inlineStr">
        <is>
          <t>Função Pastoral</t>
        </is>
      </c>
      <c r="N1" s="10" t="inlineStr">
        <is>
          <t>Situação</t>
        </is>
      </c>
      <c r="O1" s="10" t="inlineStr">
        <is>
          <t>Consagrada?</t>
        </is>
      </c>
      <c r="P1" s="10" t="inlineStr">
        <is>
          <t>Data Consagração</t>
        </is>
      </c>
      <c r="Q1" s="10" t="inlineStr">
        <is>
          <t>Observações</t>
        </is>
      </c>
      <c r="R1" s="10" t="inlineStr">
        <is>
          <t>Página do Livro</t>
        </is>
      </c>
    </row>
    <row r="2">
      <c r="A2" s="11" t="n">
        <v>1</v>
      </c>
      <c r="B2" s="11" t="inlineStr">
        <is>
          <t>1</t>
        </is>
      </c>
      <c r="C2" s="11" t="inlineStr">
        <is>
          <t>Alice Euzébio Pereira</t>
        </is>
      </c>
      <c r="D2" s="11" t="inlineStr">
        <is>
          <t>F</t>
        </is>
      </c>
      <c r="E2" s="12" t="n">
        <v>21514</v>
      </c>
      <c r="F2" s="11">
        <f>SE(E2&lt;&gt;"",DATADIF(E2,HOJE(),"Y"),"")</f>
        <v/>
      </c>
      <c r="G2" s="11" t="n"/>
      <c r="H2" s="11">
        <f>SE(G2&lt;&gt;"",DATADIF(G2,HOJE(),"Y"),"")</f>
        <v/>
      </c>
      <c r="I2" s="11" t="inlineStr">
        <is>
          <t>Rua João Batista de Almeida, 47</t>
        </is>
      </c>
      <c r="J2" s="11" t="inlineStr">
        <is>
          <t>Nova Odessa</t>
        </is>
      </c>
      <c r="K2" s="11" t="inlineStr">
        <is>
          <t>Nova Odessa</t>
        </is>
      </c>
      <c r="L2" s="11" t="inlineStr">
        <is>
          <t>(19) 99131-5952</t>
        </is>
      </c>
      <c r="M2" s="11" t="inlineStr"/>
      <c r="N2" s="11" t="inlineStr">
        <is>
          <t>Inativo</t>
        </is>
      </c>
      <c r="O2" s="11" t="inlineStr">
        <is>
          <t>Não</t>
        </is>
      </c>
      <c r="P2" s="11" t="n"/>
      <c r="Q2" s="11" t="inlineStr">
        <is>
          <t>Não é membro ativo na comunidade.</t>
        </is>
      </c>
      <c r="R2" s="11" t="inlineStr">
        <is>
          <t>p.6</t>
        </is>
      </c>
    </row>
    <row r="3">
      <c r="A3" s="11" t="n">
        <v>2</v>
      </c>
      <c r="B3" s="11" t="inlineStr">
        <is>
          <t>2</t>
        </is>
      </c>
      <c r="C3" s="11" t="inlineStr">
        <is>
          <t>Ana Borges</t>
        </is>
      </c>
      <c r="D3" s="11" t="inlineStr">
        <is>
          <t>F</t>
        </is>
      </c>
      <c r="E3" s="12" t="n">
        <v>15613</v>
      </c>
      <c r="F3" s="11">
        <f>SE(E3&lt;&gt;"",DATADIF(E3,HOJE(),"Y"),"")</f>
        <v/>
      </c>
      <c r="G3" s="11" t="n"/>
      <c r="H3" s="11">
        <f>SE(G3&lt;&gt;"",DATADIF(G3,HOJE(),"Y"),"")</f>
        <v/>
      </c>
      <c r="I3" s="11" t="inlineStr"/>
      <c r="J3" s="11" t="inlineStr"/>
      <c r="K3" s="11" t="inlineStr">
        <is>
          <t>Nova Odessa</t>
        </is>
      </c>
      <c r="L3" s="11" t="inlineStr"/>
      <c r="M3" s="11" t="inlineStr"/>
      <c r="N3" s="11" t="inlineStr">
        <is>
          <t>Ativo</t>
        </is>
      </c>
      <c r="O3" s="11" t="inlineStr">
        <is>
          <t>Não</t>
        </is>
      </c>
      <c r="P3" s="11" t="n"/>
      <c r="Q3" s="11" t="inlineStr">
        <is>
          <t>Registro mínimo – somente nome e aniversário.</t>
        </is>
      </c>
      <c r="R3" s="11" t="inlineStr">
        <is>
          <t>p.6</t>
        </is>
      </c>
    </row>
    <row r="4">
      <c r="A4" s="11" t="n">
        <v>3</v>
      </c>
      <c r="B4" s="11" t="inlineStr">
        <is>
          <t>3</t>
        </is>
      </c>
      <c r="C4" s="11" t="inlineStr">
        <is>
          <t>Aparecida Petri</t>
        </is>
      </c>
      <c r="D4" s="11" t="inlineStr">
        <is>
          <t>F</t>
        </is>
      </c>
      <c r="E4" s="12" t="n">
        <v>20474</v>
      </c>
      <c r="F4" s="11">
        <f>SE(E4&lt;&gt;"",DATADIF(E4,HOJE(),"Y"),"")</f>
        <v/>
      </c>
      <c r="G4" s="11" t="n"/>
      <c r="H4" s="11">
        <f>SE(G4&lt;&gt;"",DATADIF(G4,HOJE(),"Y"),"")</f>
        <v/>
      </c>
      <c r="I4" s="11" t="inlineStr">
        <is>
          <t>Rua Sebastião Cardoso, s/n</t>
        </is>
      </c>
      <c r="J4" s="11" t="inlineStr">
        <is>
          <t>Nova Odessa</t>
        </is>
      </c>
      <c r="K4" s="11" t="inlineStr">
        <is>
          <t>Nova Odessa</t>
        </is>
      </c>
      <c r="L4" s="11" t="inlineStr">
        <is>
          <t>(19) 99389-6167</t>
        </is>
      </c>
      <c r="M4" s="11" t="inlineStr"/>
      <c r="N4" s="11" t="inlineStr">
        <is>
          <t>Ativo</t>
        </is>
      </c>
      <c r="O4" s="11" t="inlineStr">
        <is>
          <t>Não</t>
        </is>
      </c>
      <c r="P4" s="11" t="n"/>
      <c r="Q4" s="11" t="inlineStr"/>
      <c r="R4" s="11" t="inlineStr">
        <is>
          <t>p.6</t>
        </is>
      </c>
    </row>
    <row r="5">
      <c r="A5" s="11" t="n">
        <v>4</v>
      </c>
      <c r="B5" s="11" t="inlineStr">
        <is>
          <t>4</t>
        </is>
      </c>
      <c r="C5" s="11" t="inlineStr">
        <is>
          <t>Argemira dos Santos (Mirinha)</t>
        </is>
      </c>
      <c r="D5" s="11" t="inlineStr">
        <is>
          <t>F</t>
        </is>
      </c>
      <c r="E5" s="12" t="n">
        <v>18837</v>
      </c>
      <c r="F5" s="11">
        <f>SE(E5&lt;&gt;"",DATADIF(E5,HOJE(),"Y"),"")</f>
        <v/>
      </c>
      <c r="G5" s="12" t="n">
        <v>42923</v>
      </c>
      <c r="H5" s="11">
        <f>SE(G5&lt;&gt;"",DATADIF(G5,HOJE(),"Y"),"")</f>
        <v/>
      </c>
      <c r="I5" s="11" t="inlineStr">
        <is>
          <t>Rua da Paz, 261</t>
        </is>
      </c>
      <c r="J5" s="11" t="inlineStr">
        <is>
          <t>Terranova</t>
        </is>
      </c>
      <c r="K5" s="11" t="inlineStr">
        <is>
          <t>Nova Odessa</t>
        </is>
      </c>
      <c r="L5" s="11" t="inlineStr">
        <is>
          <t>(19) 99186-4603</t>
        </is>
      </c>
      <c r="M5" s="11" t="inlineStr"/>
      <c r="N5" s="11" t="inlineStr">
        <is>
          <t>Ativo</t>
        </is>
      </c>
      <c r="O5" s="11" t="inlineStr">
        <is>
          <t>Não</t>
        </is>
      </c>
      <c r="P5" s="11" t="n"/>
      <c r="Q5" s="11" t="inlineStr">
        <is>
          <t>Paróquia Sta. Luzia – Pe. Luiz Antônio.</t>
        </is>
      </c>
      <c r="R5" s="11" t="inlineStr">
        <is>
          <t>p.6</t>
        </is>
      </c>
    </row>
    <row r="6">
      <c r="A6" s="11" t="n">
        <v>5</v>
      </c>
      <c r="B6" s="11" t="inlineStr">
        <is>
          <t>5</t>
        </is>
      </c>
      <c r="C6" s="11" t="inlineStr">
        <is>
          <t>Antônio</t>
        </is>
      </c>
      <c r="D6" s="11" t="inlineStr">
        <is>
          <t>M</t>
        </is>
      </c>
      <c r="E6" s="12" t="n">
        <v>16398</v>
      </c>
      <c r="F6" s="11">
        <f>SE(E6&lt;&gt;"",DATADIF(E6,HOJE(),"Y"),"")</f>
        <v/>
      </c>
      <c r="G6" s="11" t="n"/>
      <c r="H6" s="11">
        <f>SE(G6&lt;&gt;"",DATADIF(G6,HOJE(),"Y"),"")</f>
        <v/>
      </c>
      <c r="I6" s="11" t="inlineStr"/>
      <c r="J6" s="11" t="inlineStr"/>
      <c r="K6" s="11" t="inlineStr">
        <is>
          <t>Nova Odessa</t>
        </is>
      </c>
      <c r="L6" s="11" t="inlineStr"/>
      <c r="M6" s="11" t="inlineStr"/>
      <c r="N6" s="11" t="inlineStr">
        <is>
          <t>Ativo</t>
        </is>
      </c>
      <c r="O6" s="11" t="inlineStr">
        <is>
          <t>Não</t>
        </is>
      </c>
      <c r="P6" s="11" t="n"/>
      <c r="Q6" s="11" t="inlineStr">
        <is>
          <t>Sobrenome não registrado no livro.</t>
        </is>
      </c>
      <c r="R6" s="11" t="inlineStr">
        <is>
          <t>p.6</t>
        </is>
      </c>
    </row>
    <row r="7">
      <c r="A7" s="11" t="n">
        <v>6</v>
      </c>
      <c r="B7" s="11" t="inlineStr">
        <is>
          <t>6</t>
        </is>
      </c>
      <c r="C7" s="11" t="inlineStr">
        <is>
          <t>Cacilda Batista Degan</t>
        </is>
      </c>
      <c r="D7" s="11" t="inlineStr">
        <is>
          <t>F</t>
        </is>
      </c>
      <c r="E7" s="12" t="n">
        <v>14469</v>
      </c>
      <c r="F7" s="11">
        <f>SE(E7&lt;&gt;"",DATADIF(E7,HOJE(),"Y"),"")</f>
        <v/>
      </c>
      <c r="G7" s="12" t="n">
        <v>41640</v>
      </c>
      <c r="H7" s="11">
        <f>SE(G7&lt;&gt;"",DATADIF(G7,HOJE(),"Y"),"")</f>
        <v/>
      </c>
      <c r="I7" s="11" t="inlineStr">
        <is>
          <t>Alameda do Saber, 23</t>
        </is>
      </c>
      <c r="J7" s="11" t="inlineStr">
        <is>
          <t>Jd. Fibra</t>
        </is>
      </c>
      <c r="K7" s="11" t="inlineStr">
        <is>
          <t>Nova Odessa</t>
        </is>
      </c>
      <c r="L7" s="11" t="inlineStr">
        <is>
          <t>(19) 99755-????</t>
        </is>
      </c>
      <c r="M7" s="11" t="inlineStr"/>
      <c r="N7" s="11" t="inlineStr">
        <is>
          <t>Ativo</t>
        </is>
      </c>
      <c r="O7" s="11" t="inlineStr">
        <is>
          <t>Não</t>
        </is>
      </c>
      <c r="P7" s="11" t="n"/>
      <c r="Q7" s="11" t="inlineStr">
        <is>
          <t>Comunidade de Santa Luzia desde 2014.</t>
        </is>
      </c>
      <c r="R7" s="11" t="inlineStr">
        <is>
          <t>p.6</t>
        </is>
      </c>
    </row>
    <row r="8">
      <c r="A8" s="11" t="n">
        <v>8</v>
      </c>
      <c r="B8" s="11" t="inlineStr">
        <is>
          <t>8</t>
        </is>
      </c>
      <c r="C8" s="11" t="inlineStr">
        <is>
          <t>Célia Aparecida</t>
        </is>
      </c>
      <c r="D8" s="11" t="inlineStr">
        <is>
          <t>F</t>
        </is>
      </c>
      <c r="E8" s="12" t="n">
        <v>26113</v>
      </c>
      <c r="F8" s="11">
        <f>SE(E8&lt;&gt;"",DATADIF(E8,HOJE(),"Y"),"")</f>
        <v/>
      </c>
      <c r="G8" s="11" t="n"/>
      <c r="H8" s="11">
        <f>SE(G8&lt;&gt;"",DATADIF(G8,HOJE(),"Y"),"")</f>
        <v/>
      </c>
      <c r="I8" s="11" t="inlineStr"/>
      <c r="J8" s="11" t="inlineStr"/>
      <c r="K8" s="11" t="inlineStr">
        <is>
          <t>Nova Odessa</t>
        </is>
      </c>
      <c r="L8" s="11" t="inlineStr"/>
      <c r="M8" s="11" t="inlineStr"/>
      <c r="N8" s="11" t="inlineStr">
        <is>
          <t>Ativo</t>
        </is>
      </c>
      <c r="O8" s="11" t="inlineStr">
        <is>
          <t>Não</t>
        </is>
      </c>
      <c r="P8" s="11" t="n"/>
      <c r="Q8" s="11" t="inlineStr">
        <is>
          <t>Nº 7 ausente entre Cacilda e Célia.</t>
        </is>
      </c>
      <c r="R8" s="11" t="inlineStr">
        <is>
          <t>p.6</t>
        </is>
      </c>
    </row>
    <row r="9">
      <c r="A9" s="11" t="n">
        <v>9</v>
      </c>
      <c r="B9" s="11" t="inlineStr">
        <is>
          <t>9</t>
        </is>
      </c>
      <c r="C9" s="11" t="inlineStr">
        <is>
          <t>Graziela Ellen Santos</t>
        </is>
      </c>
      <c r="D9" s="11" t="inlineStr">
        <is>
          <t>F</t>
        </is>
      </c>
      <c r="E9" s="12" t="n">
        <v>29228</v>
      </c>
      <c r="F9" s="11">
        <f>SE(E9&lt;&gt;"",DATADIF(E9,HOJE(),"Y"),"")</f>
        <v/>
      </c>
      <c r="G9" s="12" t="n">
        <v>42923</v>
      </c>
      <c r="H9" s="11">
        <f>SE(G9&lt;&gt;"",DATADIF(G9,HOJE(),"Y"),"")</f>
        <v/>
      </c>
      <c r="I9" s="11" t="inlineStr">
        <is>
          <t>Rua Jordano Milani, 142</t>
        </is>
      </c>
      <c r="J9" s="11" t="inlineStr">
        <is>
          <t>N. Sra. de Fátima</t>
        </is>
      </c>
      <c r="K9" s="11" t="inlineStr">
        <is>
          <t>Nova Odessa</t>
        </is>
      </c>
      <c r="L9" s="11" t="inlineStr">
        <is>
          <t>(19) 98147-46??</t>
        </is>
      </c>
      <c r="M9" s="11" t="inlineStr"/>
      <c r="N9" s="11" t="inlineStr">
        <is>
          <t>Ativo</t>
        </is>
      </c>
      <c r="O9" s="11" t="inlineStr">
        <is>
          <t>Não</t>
        </is>
      </c>
      <c r="P9" s="11" t="n"/>
      <c r="Q9" s="11" t="inlineStr">
        <is>
          <t>Paróquia Sta. Luzia – Pe. Luís Antônio.</t>
        </is>
      </c>
      <c r="R9" s="11" t="inlineStr">
        <is>
          <t>p.6b</t>
        </is>
      </c>
    </row>
    <row r="10">
      <c r="A10" s="11" t="n">
        <v>10</v>
      </c>
      <c r="B10" s="11" t="inlineStr">
        <is>
          <t>10</t>
        </is>
      </c>
      <c r="C10" s="11" t="inlineStr">
        <is>
          <t>Lucas Gaveta Silva</t>
        </is>
      </c>
      <c r="D10" s="11" t="inlineStr">
        <is>
          <t>M</t>
        </is>
      </c>
      <c r="E10" s="12" t="n">
        <v>30925</v>
      </c>
      <c r="F10" s="11">
        <f>SE(E10&lt;&gt;"",DATADIF(E10,HOJE(),"Y"),"")</f>
        <v/>
      </c>
      <c r="G10" s="12" t="n">
        <v>42923</v>
      </c>
      <c r="H10" s="11">
        <f>SE(G10&lt;&gt;"",DATADIF(G10,HOJE(),"Y"),"")</f>
        <v/>
      </c>
      <c r="I10" s="11" t="inlineStr">
        <is>
          <t>Rua Jordano Milani, 142</t>
        </is>
      </c>
      <c r="J10" s="11" t="inlineStr">
        <is>
          <t>N. Sra. de Fátima</t>
        </is>
      </c>
      <c r="K10" s="11" t="inlineStr">
        <is>
          <t>Nova Odessa</t>
        </is>
      </c>
      <c r="L10" s="11" t="inlineStr">
        <is>
          <t>(19) 98129-1150</t>
        </is>
      </c>
      <c r="M10" s="11" t="inlineStr"/>
      <c r="N10" s="11" t="inlineStr">
        <is>
          <t>Ativo</t>
        </is>
      </c>
      <c r="O10" s="11" t="inlineStr">
        <is>
          <t>Não</t>
        </is>
      </c>
      <c r="P10" s="11" t="n"/>
      <c r="Q10" s="11" t="inlineStr">
        <is>
          <t>Paróquia de Santa Luzia.</t>
        </is>
      </c>
      <c r="R10" s="11" t="inlineStr">
        <is>
          <t>p.6b</t>
        </is>
      </c>
    </row>
    <row r="11">
      <c r="A11" s="11" t="n">
        <v>11</v>
      </c>
      <c r="B11" s="11" t="inlineStr">
        <is>
          <t>11</t>
        </is>
      </c>
      <c r="C11" s="11" t="inlineStr">
        <is>
          <t>Claudionice Batista Fernandes (Sau)</t>
        </is>
      </c>
      <c r="D11" s="11" t="inlineStr">
        <is>
          <t>F</t>
        </is>
      </c>
      <c r="E11" s="12" t="n">
        <v>26397</v>
      </c>
      <c r="F11" s="11">
        <f>SE(E11&lt;&gt;"",DATADIF(E11,HOJE(),"Y"),"")</f>
        <v/>
      </c>
      <c r="G11" s="11" t="n"/>
      <c r="H11" s="11">
        <f>SE(G11&lt;&gt;"",DATADIF(G11,HOJE(),"Y"),"")</f>
        <v/>
      </c>
      <c r="I11" s="11" t="inlineStr">
        <is>
          <t>Rua Maximiliano Dal Medico, 290</t>
        </is>
      </c>
      <c r="J11" s="11" t="inlineStr">
        <is>
          <t>Santa Luíza II</t>
        </is>
      </c>
      <c r="K11" s="11" t="inlineStr">
        <is>
          <t>Nova Odessa</t>
        </is>
      </c>
      <c r="L11" s="11" t="inlineStr">
        <is>
          <t>(19) 99528-3553</t>
        </is>
      </c>
      <c r="M11" s="11" t="inlineStr">
        <is>
          <t>Catequista</t>
        </is>
      </c>
      <c r="N11" s="11" t="inlineStr">
        <is>
          <t>Ativo</t>
        </is>
      </c>
      <c r="O11" s="11" t="inlineStr">
        <is>
          <t>Não</t>
        </is>
      </c>
      <c r="P11" s="11" t="n"/>
      <c r="Q11" s="11" t="inlineStr">
        <is>
          <t>Apelido: Sau. Comunidade Santa Luzia.</t>
        </is>
      </c>
      <c r="R11" s="11" t="inlineStr">
        <is>
          <t>p.6b</t>
        </is>
      </c>
    </row>
    <row r="12">
      <c r="A12" s="11" t="n">
        <v>12</v>
      </c>
      <c r="B12" s="11" t="inlineStr">
        <is>
          <t>12</t>
        </is>
      </c>
      <c r="C12" s="11" t="inlineStr">
        <is>
          <t>Gleide</t>
        </is>
      </c>
      <c r="D12" s="11" t="inlineStr">
        <is>
          <t>F</t>
        </is>
      </c>
      <c r="E12" s="12" t="n">
        <v>19316</v>
      </c>
      <c r="F12" s="11">
        <f>SE(E12&lt;&gt;"",DATADIF(E12,HOJE(),"Y"),"")</f>
        <v/>
      </c>
      <c r="G12" s="11" t="n"/>
      <c r="H12" s="11">
        <f>SE(G12&lt;&gt;"",DATADIF(G12,HOJE(),"Y"),"")</f>
        <v/>
      </c>
      <c r="I12" s="11" t="inlineStr">
        <is>
          <t>Rua Antônio Pereira Freire, 05</t>
        </is>
      </c>
      <c r="J12" s="11" t="inlineStr">
        <is>
          <t>Nova Odessa</t>
        </is>
      </c>
      <c r="K12" s="11" t="inlineStr">
        <is>
          <t>Nova Odessa</t>
        </is>
      </c>
      <c r="L12" s="11" t="inlineStr">
        <is>
          <t>(19) 99313-9345</t>
        </is>
      </c>
      <c r="M12" s="11" t="inlineStr">
        <is>
          <t>Ministra da Eucaristia (até 2019) / Liturgia</t>
        </is>
      </c>
      <c r="N12" s="11" t="inlineStr">
        <is>
          <t>Ativo</t>
        </is>
      </c>
      <c r="O12" s="11" t="inlineStr">
        <is>
          <t>Não</t>
        </is>
      </c>
      <c r="P12" s="11" t="n"/>
      <c r="Q12" s="11" t="inlineStr">
        <is>
          <t>Atuou na Ministra da Eucaristia até 2019; hoje na Liturgia.</t>
        </is>
      </c>
      <c r="R12" s="11" t="inlineStr">
        <is>
          <t>p.6b</t>
        </is>
      </c>
    </row>
    <row r="13">
      <c r="A13" s="11" t="n">
        <v>13</v>
      </c>
      <c r="B13" s="11" t="inlineStr">
        <is>
          <t>13</t>
        </is>
      </c>
      <c r="C13" s="11" t="inlineStr">
        <is>
          <t>Devanira Vitta Lobão</t>
        </is>
      </c>
      <c r="D13" s="11" t="inlineStr">
        <is>
          <t>F</t>
        </is>
      </c>
      <c r="E13" s="12" t="n">
        <v>17458</v>
      </c>
      <c r="F13" s="11">
        <f>SE(E13&lt;&gt;"",DATADIF(E13,HOJE(),"Y"),"")</f>
        <v/>
      </c>
      <c r="G13" s="11" t="n"/>
      <c r="H13" s="11">
        <f>SE(G13&lt;&gt;"",DATADIF(G13,HOJE(),"Y"),"")</f>
        <v/>
      </c>
      <c r="I13" s="11" t="inlineStr">
        <is>
          <t>Rua das Crianças, 1162</t>
        </is>
      </c>
      <c r="J13" s="11" t="inlineStr">
        <is>
          <t>N. Sra. de Fátima</t>
        </is>
      </c>
      <c r="K13" s="11" t="inlineStr">
        <is>
          <t>Nova Odessa</t>
        </is>
      </c>
      <c r="L13" s="11" t="inlineStr">
        <is>
          <t>(19) 99491-9890</t>
        </is>
      </c>
      <c r="M13" s="11" t="inlineStr"/>
      <c r="N13" s="11" t="inlineStr">
        <is>
          <t>Ativo</t>
        </is>
      </c>
      <c r="O13" s="11" t="inlineStr">
        <is>
          <t>Não</t>
        </is>
      </c>
      <c r="P13" s="11" t="n"/>
      <c r="Q13" s="11" t="inlineStr"/>
      <c r="R13" s="11" t="inlineStr">
        <is>
          <t>p.6b</t>
        </is>
      </c>
    </row>
    <row r="14">
      <c r="A14" s="11" t="n">
        <v>14</v>
      </c>
      <c r="B14" s="11" t="inlineStr">
        <is>
          <t>14</t>
        </is>
      </c>
      <c r="C14" s="11" t="inlineStr">
        <is>
          <t>Eneide Bernardes Grandini</t>
        </is>
      </c>
      <c r="D14" s="11" t="inlineStr">
        <is>
          <t>F</t>
        </is>
      </c>
      <c r="E14" s="12" t="n">
        <v>13329</v>
      </c>
      <c r="F14" s="11">
        <f>SE(E14&lt;&gt;"",DATADIF(E14,HOJE(),"Y"),"")</f>
        <v/>
      </c>
      <c r="G14" s="12" t="n">
        <v>20090</v>
      </c>
      <c r="H14" s="11">
        <f>SE(G14&lt;&gt;"",DATADIF(G14,HOJE(),"Y"),"")</f>
        <v/>
      </c>
      <c r="I14" s="11" t="inlineStr">
        <is>
          <t>Rua Frederico Lanzoni, 55</t>
        </is>
      </c>
      <c r="J14" s="11" t="inlineStr">
        <is>
          <t>Santa Luíza II</t>
        </is>
      </c>
      <c r="K14" s="11" t="inlineStr">
        <is>
          <t>Nova Odessa</t>
        </is>
      </c>
      <c r="L14" s="11" t="inlineStr">
        <is>
          <t>(19) 3466-0924</t>
        </is>
      </c>
      <c r="M14" s="11" t="inlineStr">
        <is>
          <t>Pastoral dos Doentes / Ministra da Eucaristia</t>
        </is>
      </c>
      <c r="N14" s="11" t="inlineStr">
        <is>
          <t>Ativo</t>
        </is>
      </c>
      <c r="O14" s="11" t="inlineStr">
        <is>
          <t>Não</t>
        </is>
      </c>
      <c r="P14" s="11" t="n"/>
      <c r="Q14" s="11" t="inlineStr">
        <is>
          <t>MEMBRO MAIS ANTIGO. Ingresso 1955 em Piracicaba; Nova Odessa desde 2000.</t>
        </is>
      </c>
      <c r="R14" s="11" t="inlineStr">
        <is>
          <t>p.6b</t>
        </is>
      </c>
    </row>
    <row r="15">
      <c r="A15" s="11" t="n">
        <v>15</v>
      </c>
      <c r="B15" s="11" t="inlineStr">
        <is>
          <t>15</t>
        </is>
      </c>
      <c r="C15" s="11" t="inlineStr">
        <is>
          <t>Ione Michelan da Silva</t>
        </is>
      </c>
      <c r="D15" s="11" t="inlineStr">
        <is>
          <t>F</t>
        </is>
      </c>
      <c r="E15" s="12" t="n">
        <v>23922</v>
      </c>
      <c r="F15" s="11">
        <f>SE(E15&lt;&gt;"",DATADIF(E15,HOJE(),"Y"),"")</f>
        <v/>
      </c>
      <c r="G15" s="11" t="n"/>
      <c r="H15" s="11">
        <f>SE(G15&lt;&gt;"",DATADIF(G15,HOJE(),"Y"),"")</f>
        <v/>
      </c>
      <c r="I15" s="11" t="inlineStr">
        <is>
          <t>Rua Sebastião da Cruz Mata, 25</t>
        </is>
      </c>
      <c r="J15" s="11" t="inlineStr">
        <is>
          <t>Triunfo</t>
        </is>
      </c>
      <c r="K15" s="11" t="inlineStr">
        <is>
          <t>Nova Odessa</t>
        </is>
      </c>
      <c r="L15" s="11" t="inlineStr">
        <is>
          <t>(19) 99320-4021</t>
        </is>
      </c>
      <c r="M15" s="11" t="inlineStr"/>
      <c r="N15" s="11" t="inlineStr">
        <is>
          <t>Inativo</t>
        </is>
      </c>
      <c r="O15" s="11" t="inlineStr">
        <is>
          <t>Não</t>
        </is>
      </c>
      <c r="P15" s="11" t="n"/>
      <c r="Q15" s="11" t="inlineStr">
        <is>
          <t>Inativo na comunidade.</t>
        </is>
      </c>
      <c r="R15" s="11" t="inlineStr">
        <is>
          <t>p.7</t>
        </is>
      </c>
    </row>
    <row r="16">
      <c r="A16" s="11" t="n">
        <v>16</v>
      </c>
      <c r="B16" s="11" t="inlineStr">
        <is>
          <t>16</t>
        </is>
      </c>
      <c r="C16" s="11" t="inlineStr">
        <is>
          <t>Fátima Aparecida Felix Carmossi</t>
        </is>
      </c>
      <c r="D16" s="11" t="inlineStr">
        <is>
          <t>F</t>
        </is>
      </c>
      <c r="E16" s="12" t="n">
        <v>22647</v>
      </c>
      <c r="F16" s="11">
        <f>SE(E16&lt;&gt;"",DATADIF(E16,HOJE(),"Y"),"")</f>
        <v/>
      </c>
      <c r="G16" s="11" t="n"/>
      <c r="H16" s="11">
        <f>SE(G16&lt;&gt;"",DATADIF(G16,HOJE(),"Y"),"")</f>
        <v/>
      </c>
      <c r="I16" s="11" t="inlineStr">
        <is>
          <t>Rua João Batista de Almeida, 16</t>
        </is>
      </c>
      <c r="J16" s="11" t="inlineStr">
        <is>
          <t>Triunfo</t>
        </is>
      </c>
      <c r="K16" s="11" t="inlineStr">
        <is>
          <t>Nova Odessa</t>
        </is>
      </c>
      <c r="L16" s="11" t="inlineStr">
        <is>
          <t>(19) 99384-5059</t>
        </is>
      </c>
      <c r="M16" s="11" t="inlineStr">
        <is>
          <t>Ministra da Eucaristia</t>
        </is>
      </c>
      <c r="N16" s="11" t="inlineStr">
        <is>
          <t>Ativo</t>
        </is>
      </c>
      <c r="O16" s="11" t="inlineStr">
        <is>
          <t>Não</t>
        </is>
      </c>
      <c r="P16" s="11" t="n"/>
      <c r="Q16" s="11" t="inlineStr">
        <is>
          <t>Comunidade Sta. Luzia / Irmã Joyce.</t>
        </is>
      </c>
      <c r="R16" s="11" t="inlineStr">
        <is>
          <t>p.7</t>
        </is>
      </c>
    </row>
    <row r="17">
      <c r="A17" s="11" t="n">
        <v>17</v>
      </c>
      <c r="B17" s="11" t="inlineStr">
        <is>
          <t>17</t>
        </is>
      </c>
      <c r="C17" s="11" t="inlineStr">
        <is>
          <t>Helena Rosante (Helena de Fátima Rosante Caetano)</t>
        </is>
      </c>
      <c r="D17" s="11" t="inlineStr">
        <is>
          <t>F</t>
        </is>
      </c>
      <c r="E17" s="12" t="n">
        <v>24607</v>
      </c>
      <c r="F17" s="11">
        <f>SE(E17&lt;&gt;"",DATADIF(E17,HOJE(),"Y"),"")</f>
        <v/>
      </c>
      <c r="G17" s="11" t="n"/>
      <c r="H17" s="11">
        <f>SE(G17&lt;&gt;"",DATADIF(G17,HOJE(),"Y"),"")</f>
        <v/>
      </c>
      <c r="I17" s="11" t="inlineStr">
        <is>
          <t>Rua das Crianças, 1161</t>
        </is>
      </c>
      <c r="J17" s="11" t="inlineStr">
        <is>
          <t>N. Sra. de Fátima</t>
        </is>
      </c>
      <c r="K17" s="11" t="inlineStr">
        <is>
          <t>Nova Odessa</t>
        </is>
      </c>
      <c r="L17" s="11" t="inlineStr">
        <is>
          <t>(19) 99280-8069</t>
        </is>
      </c>
      <c r="M17" s="11" t="inlineStr"/>
      <c r="N17" s="11" t="inlineStr">
        <is>
          <t>Ativo</t>
        </is>
      </c>
      <c r="O17" s="11" t="inlineStr">
        <is>
          <t>Não</t>
        </is>
      </c>
      <c r="P17" s="11" t="n"/>
      <c r="Q17" s="11" t="inlineStr">
        <is>
          <t>Esposa de Osmar Caetano (#38). Verificar duplicidade com Helena (#45).</t>
        </is>
      </c>
      <c r="R17" s="11" t="inlineStr">
        <is>
          <t>p.7</t>
        </is>
      </c>
    </row>
    <row r="18">
      <c r="A18" s="11" t="n">
        <v>18</v>
      </c>
      <c r="B18" s="11" t="inlineStr">
        <is>
          <t>18</t>
        </is>
      </c>
      <c r="C18" s="11" t="inlineStr">
        <is>
          <t>Sair Rosante</t>
        </is>
      </c>
      <c r="D18" s="11" t="inlineStr">
        <is>
          <t>M</t>
        </is>
      </c>
      <c r="E18" s="11" t="n"/>
      <c r="F18" s="11">
        <f>SE(E18&lt;&gt;"",DATADIF(E18,HOJE(),"Y"),"")</f>
        <v/>
      </c>
      <c r="G18" s="11" t="n"/>
      <c r="H18" s="11">
        <f>SE(G18&lt;&gt;"",DATADIF(G18,HOJE(),"Y"),"")</f>
        <v/>
      </c>
      <c r="I18" s="11" t="inlineStr">
        <is>
          <t>Rua Jordano Milani, 158</t>
        </is>
      </c>
      <c r="J18" s="11" t="inlineStr">
        <is>
          <t>N. Sra. de Fátima</t>
        </is>
      </c>
      <c r="K18" s="11" t="inlineStr">
        <is>
          <t>Nova Odessa</t>
        </is>
      </c>
      <c r="L18" s="11" t="inlineStr">
        <is>
          <t>(19) 99289-5207</t>
        </is>
      </c>
      <c r="M18" s="11" t="inlineStr"/>
      <c r="N18" s="11" t="inlineStr">
        <is>
          <t>Ativo</t>
        </is>
      </c>
      <c r="O18" s="11" t="inlineStr">
        <is>
          <t>Não</t>
        </is>
      </c>
      <c r="P18" s="11" t="n"/>
      <c r="Q18" s="11" t="inlineStr">
        <is>
          <t>Irmão de Helena Rosante (#17). Aniversário não preenchido.</t>
        </is>
      </c>
      <c r="R18" s="11" t="inlineStr">
        <is>
          <t>p.7</t>
        </is>
      </c>
    </row>
    <row r="19">
      <c r="A19" s="11" t="n">
        <v>19</v>
      </c>
      <c r="B19" s="11" t="inlineStr">
        <is>
          <t>19</t>
        </is>
      </c>
      <c r="C19" s="11" t="inlineStr">
        <is>
          <t>Jefferson Ap. Rosante Caetano</t>
        </is>
      </c>
      <c r="D19" s="11" t="inlineStr">
        <is>
          <t>M</t>
        </is>
      </c>
      <c r="E19" s="12" t="n">
        <v>37124</v>
      </c>
      <c r="F19" s="11">
        <f>SE(E19&lt;&gt;"",DATADIF(E19,HOJE(),"Y"),"")</f>
        <v/>
      </c>
      <c r="G19" s="11" t="n"/>
      <c r="H19" s="11">
        <f>SE(G19&lt;&gt;"",DATADIF(G19,HOJE(),"Y"),"")</f>
        <v/>
      </c>
      <c r="I19" s="11" t="inlineStr">
        <is>
          <t>Rua das Crianças, 1164</t>
        </is>
      </c>
      <c r="J19" s="11" t="inlineStr">
        <is>
          <t>N. Sra. de Fátima</t>
        </is>
      </c>
      <c r="K19" s="11" t="inlineStr">
        <is>
          <t>Nova Odessa</t>
        </is>
      </c>
      <c r="L19" s="11" t="inlineStr">
        <is>
          <t>(19) 99898-9562</t>
        </is>
      </c>
      <c r="M19" s="11" t="inlineStr"/>
      <c r="N19" s="11" t="inlineStr">
        <is>
          <t>Ativo</t>
        </is>
      </c>
      <c r="O19" s="11" t="inlineStr">
        <is>
          <t>Não</t>
        </is>
      </c>
      <c r="P19" s="11" t="n"/>
      <c r="Q19" s="11" t="inlineStr">
        <is>
          <t>Possível filho de Helena (#17) e Osmar Caetano (#38).</t>
        </is>
      </c>
      <c r="R19" s="11" t="inlineStr">
        <is>
          <t>p.7</t>
        </is>
      </c>
    </row>
    <row r="20">
      <c r="A20" s="11" t="n">
        <v>20</v>
      </c>
      <c r="B20" s="11" t="inlineStr">
        <is>
          <t>20</t>
        </is>
      </c>
      <c r="C20" s="11" t="inlineStr">
        <is>
          <t>Jeanete Batista da Silva</t>
        </is>
      </c>
      <c r="D20" s="11" t="inlineStr">
        <is>
          <t>F</t>
        </is>
      </c>
      <c r="E20" s="12" t="n">
        <v>23732</v>
      </c>
      <c r="F20" s="11">
        <f>SE(E20&lt;&gt;"",DATADIF(E20,HOJE(),"Y"),"")</f>
        <v/>
      </c>
      <c r="G20" s="11" t="n"/>
      <c r="H20" s="11">
        <f>SE(G20&lt;&gt;"",DATADIF(G20,HOJE(),"Y"),"")</f>
        <v/>
      </c>
      <c r="I20" s="11" t="inlineStr">
        <is>
          <t>Rua Antônio Pereira Freire, 08</t>
        </is>
      </c>
      <c r="J20" s="11" t="inlineStr">
        <is>
          <t>Triunfo</t>
        </is>
      </c>
      <c r="K20" s="11" t="inlineStr">
        <is>
          <t>Nova Odessa</t>
        </is>
      </c>
      <c r="L20" s="11" t="inlineStr">
        <is>
          <t>(19) 98158-3742</t>
        </is>
      </c>
      <c r="M20" s="11" t="inlineStr">
        <is>
          <t>Catequese (Coordenadora) / Terço</t>
        </is>
      </c>
      <c r="N20" s="11" t="inlineStr">
        <is>
          <t>Ativo</t>
        </is>
      </c>
      <c r="O20" s="11" t="inlineStr">
        <is>
          <t>Não</t>
        </is>
      </c>
      <c r="P20" s="11" t="n"/>
      <c r="Q20" s="11" t="inlineStr">
        <is>
          <t>Pastoral Catequese – Coordenadora; Pastoral do Terço.</t>
        </is>
      </c>
      <c r="R20" s="11" t="inlineStr">
        <is>
          <t>p.7</t>
        </is>
      </c>
    </row>
    <row r="21">
      <c r="A21" s="11" t="n">
        <v>21</v>
      </c>
      <c r="B21" s="11" t="inlineStr">
        <is>
          <t>21</t>
        </is>
      </c>
      <c r="C21" s="11" t="inlineStr">
        <is>
          <t>Karen</t>
        </is>
      </c>
      <c r="D21" s="11" t="inlineStr">
        <is>
          <t>F</t>
        </is>
      </c>
      <c r="E21" s="12" t="n">
        <v>38237</v>
      </c>
      <c r="F21" s="11">
        <f>SE(E21&lt;&gt;"",DATADIF(E21,HOJE(),"Y"),"")</f>
        <v/>
      </c>
      <c r="G21" s="11" t="n"/>
      <c r="H21" s="11">
        <f>SE(G21&lt;&gt;"",DATADIF(G21,HOJE(),"Y"),"")</f>
        <v/>
      </c>
      <c r="I21" s="11" t="inlineStr">
        <is>
          <t>Rua Maximiliano Dal Medico, s/n</t>
        </is>
      </c>
      <c r="J21" s="11" t="inlineStr">
        <is>
          <t>Santa Luíza II</t>
        </is>
      </c>
      <c r="K21" s="11" t="inlineStr">
        <is>
          <t>Nova Odessa</t>
        </is>
      </c>
      <c r="L21" s="11" t="inlineStr"/>
      <c r="M21" s="11" t="inlineStr"/>
      <c r="N21" s="11" t="inlineStr">
        <is>
          <t>Ativo</t>
        </is>
      </c>
      <c r="O21" s="11" t="inlineStr">
        <is>
          <t>Não</t>
        </is>
      </c>
      <c r="P21" s="11" t="n"/>
      <c r="Q21" s="11" t="inlineStr">
        <is>
          <t>Sobrenome não registrado.</t>
        </is>
      </c>
      <c r="R21" s="11" t="inlineStr">
        <is>
          <t>p.7b</t>
        </is>
      </c>
    </row>
    <row r="22">
      <c r="A22" s="11" t="n">
        <v>22</v>
      </c>
      <c r="B22" s="11" t="inlineStr">
        <is>
          <t>22</t>
        </is>
      </c>
      <c r="C22" s="11" t="inlineStr">
        <is>
          <t>Renata Cristina Rodrigues Scardovelli</t>
        </is>
      </c>
      <c r="D22" s="11" t="inlineStr">
        <is>
          <t>F</t>
        </is>
      </c>
      <c r="E22" s="12" t="n">
        <v>27417</v>
      </c>
      <c r="F22" s="11">
        <f>SE(E22&lt;&gt;"",DATADIF(E22,HOJE(),"Y"),"")</f>
        <v/>
      </c>
      <c r="G22" s="11" t="n"/>
      <c r="H22" s="11">
        <f>SE(G22&lt;&gt;"",DATADIF(G22,HOJE(),"Y"),"")</f>
        <v/>
      </c>
      <c r="I22" s="11" t="inlineStr">
        <is>
          <t>Rua Maximiliano Dal Medico, 774</t>
        </is>
      </c>
      <c r="J22" s="11" t="inlineStr">
        <is>
          <t>Santa Luíza II</t>
        </is>
      </c>
      <c r="K22" s="11" t="inlineStr">
        <is>
          <t>Nova Odessa</t>
        </is>
      </c>
      <c r="L22" s="11" t="inlineStr">
        <is>
          <t>(19) 99214-6855</t>
        </is>
      </c>
      <c r="M22" s="11" t="inlineStr"/>
      <c r="N22" s="11" t="inlineStr">
        <is>
          <t>Ativo</t>
        </is>
      </c>
      <c r="O22" s="11" t="inlineStr">
        <is>
          <t>Não</t>
        </is>
      </c>
      <c r="P22" s="11" t="n"/>
      <c r="Q22" s="11" t="inlineStr"/>
      <c r="R22" s="11" t="inlineStr">
        <is>
          <t>p.7b</t>
        </is>
      </c>
    </row>
    <row r="23">
      <c r="A23" s="11" t="n">
        <v>23</v>
      </c>
      <c r="B23" s="11" t="inlineStr">
        <is>
          <t>23</t>
        </is>
      </c>
      <c r="C23" s="11" t="inlineStr">
        <is>
          <t>Lázaro Manoel da Silva Neto</t>
        </is>
      </c>
      <c r="D23" s="11" t="inlineStr">
        <is>
          <t>M</t>
        </is>
      </c>
      <c r="E23" s="12" t="n">
        <v>22370</v>
      </c>
      <c r="F23" s="11">
        <f>SE(E23&lt;&gt;"",DATADIF(E23,HOJE(),"Y"),"")</f>
        <v/>
      </c>
      <c r="G23" s="11" t="n"/>
      <c r="H23" s="11">
        <f>SE(G23&lt;&gt;"",DATADIF(G23,HOJE(),"Y"),"")</f>
        <v/>
      </c>
      <c r="I23" s="11" t="inlineStr">
        <is>
          <t>Rua Antônio Pereira Freire, 09</t>
        </is>
      </c>
      <c r="J23" s="11" t="inlineStr">
        <is>
          <t>Triunfo</t>
        </is>
      </c>
      <c r="K23" s="11" t="inlineStr">
        <is>
          <t>Nova Odessa</t>
        </is>
      </c>
      <c r="L23" s="11" t="inlineStr"/>
      <c r="M23" s="11" t="inlineStr"/>
      <c r="N23" s="11" t="inlineStr">
        <is>
          <t>Ativo</t>
        </is>
      </c>
      <c r="O23" s="11" t="inlineStr">
        <is>
          <t>Não</t>
        </is>
      </c>
      <c r="P23" s="11" t="n"/>
      <c r="Q23" s="11" t="inlineStr">
        <is>
          <t>Telefone não preenchido.</t>
        </is>
      </c>
      <c r="R23" s="11" t="inlineStr">
        <is>
          <t>p.7b</t>
        </is>
      </c>
    </row>
    <row r="24">
      <c r="A24" s="11" t="n">
        <v>24</v>
      </c>
      <c r="B24" s="11" t="inlineStr">
        <is>
          <t>24</t>
        </is>
      </c>
      <c r="C24" s="11" t="inlineStr">
        <is>
          <t>Luiz Antônio</t>
        </is>
      </c>
      <c r="D24" s="11" t="inlineStr">
        <is>
          <t>M</t>
        </is>
      </c>
      <c r="E24" s="12" t="n">
        <v>23281</v>
      </c>
      <c r="F24" s="11">
        <f>SE(E24&lt;&gt;"",DATADIF(E24,HOJE(),"Y"),"")</f>
        <v/>
      </c>
      <c r="G24" s="11" t="n"/>
      <c r="H24" s="11">
        <f>SE(G24&lt;&gt;"",DATADIF(G24,HOJE(),"Y"),"")</f>
        <v/>
      </c>
      <c r="I24" s="11" t="inlineStr">
        <is>
          <t>Rua Joaquim Leite da Cunha, 1088</t>
        </is>
      </c>
      <c r="J24" s="11" t="inlineStr">
        <is>
          <t>Triunfo</t>
        </is>
      </c>
      <c r="K24" s="11" t="inlineStr">
        <is>
          <t>Nova Odessa</t>
        </is>
      </c>
      <c r="L24" s="11" t="inlineStr">
        <is>
          <t>(19) 99478-8717</t>
        </is>
      </c>
      <c r="M24" s="11" t="inlineStr">
        <is>
          <t>Coordenador do Apostolado / Ministro da Eucaristia</t>
        </is>
      </c>
      <c r="N24" s="11" t="inlineStr">
        <is>
          <t>Ativo</t>
        </is>
      </c>
      <c r="O24" s="11" t="inlineStr">
        <is>
          <t>Não</t>
        </is>
      </c>
      <c r="P24" s="11" t="n"/>
      <c r="Q24" s="11" t="inlineStr">
        <is>
          <t>Coordenador do Apostolado da Oração.</t>
        </is>
      </c>
      <c r="R24" s="11" t="inlineStr">
        <is>
          <t>p.7b</t>
        </is>
      </c>
    </row>
    <row r="25">
      <c r="A25" s="11" t="n">
        <v>25</v>
      </c>
      <c r="B25" s="11" t="inlineStr">
        <is>
          <t>25</t>
        </is>
      </c>
      <c r="C25" s="11" t="inlineStr">
        <is>
          <t>Iara</t>
        </is>
      </c>
      <c r="D25" s="11" t="inlineStr">
        <is>
          <t>F</t>
        </is>
      </c>
      <c r="E25" s="11" t="n"/>
      <c r="F25" s="11">
        <f>SE(E25&lt;&gt;"",DATADIF(E25,HOJE(),"Y"),"")</f>
        <v/>
      </c>
      <c r="G25" s="11" t="n"/>
      <c r="H25" s="11">
        <f>SE(G25&lt;&gt;"",DATADIF(G25,HOJE(),"Y"),"")</f>
        <v/>
      </c>
      <c r="I25" s="11" t="inlineStr">
        <is>
          <t>Rua Joaquim Leite da Cunha, 1088</t>
        </is>
      </c>
      <c r="J25" s="11" t="inlineStr">
        <is>
          <t>Triunfo</t>
        </is>
      </c>
      <c r="K25" s="11" t="inlineStr">
        <is>
          <t>Nova Odessa</t>
        </is>
      </c>
      <c r="L25" s="11" t="inlineStr"/>
      <c r="M25" s="11" t="inlineStr"/>
      <c r="N25" s="11" t="inlineStr">
        <is>
          <t>Ativo</t>
        </is>
      </c>
      <c r="O25" s="11" t="inlineStr">
        <is>
          <t>Não</t>
        </is>
      </c>
      <c r="P25" s="11" t="n"/>
      <c r="Q25" s="11" t="inlineStr">
        <is>
          <t>Aniversário: 23/12, ano ilegível. Possível esposa de Luiz Antônio (#24).</t>
        </is>
      </c>
      <c r="R25" s="11" t="inlineStr">
        <is>
          <t>p.7b</t>
        </is>
      </c>
    </row>
    <row r="26">
      <c r="A26" s="11" t="n">
        <v>26</v>
      </c>
      <c r="B26" s="11" t="inlineStr">
        <is>
          <t>26</t>
        </is>
      </c>
      <c r="C26" s="11" t="inlineStr">
        <is>
          <t>Teresa</t>
        </is>
      </c>
      <c r="D26" s="11" t="inlineStr">
        <is>
          <t>F</t>
        </is>
      </c>
      <c r="E26" s="12" t="n">
        <v>26834</v>
      </c>
      <c r="F26" s="11">
        <f>SE(E26&lt;&gt;"",DATADIF(E26,HOJE(),"Y"),"")</f>
        <v/>
      </c>
      <c r="G26" s="11" t="n"/>
      <c r="H26" s="11">
        <f>SE(G26&lt;&gt;"",DATADIF(G26,HOJE(),"Y"),"")</f>
        <v/>
      </c>
      <c r="I26" s="11" t="inlineStr"/>
      <c r="J26" s="11" t="inlineStr"/>
      <c r="K26" s="11" t="inlineStr">
        <is>
          <t>Nova Odessa</t>
        </is>
      </c>
      <c r="L26" s="11" t="inlineStr"/>
      <c r="M26" s="11" t="inlineStr"/>
      <c r="N26" s="11" t="inlineStr">
        <is>
          <t>Falecida</t>
        </is>
      </c>
      <c r="O26" s="11" t="inlineStr">
        <is>
          <t>Não</t>
        </is>
      </c>
      <c r="P26" s="11" t="n"/>
      <c r="Q26" s="11" t="inlineStr">
        <is>
          <t>Faleceu – data não registrada.</t>
        </is>
      </c>
      <c r="R26" s="11" t="inlineStr">
        <is>
          <t>p.7b</t>
        </is>
      </c>
    </row>
    <row r="27">
      <c r="A27" s="11" t="n">
        <v>27</v>
      </c>
      <c r="B27" s="11" t="inlineStr">
        <is>
          <t>27</t>
        </is>
      </c>
      <c r="C27" s="11" t="inlineStr">
        <is>
          <t>Luíza Regina</t>
        </is>
      </c>
      <c r="D27" s="11" t="inlineStr">
        <is>
          <t>F</t>
        </is>
      </c>
      <c r="E27" s="12" t="n">
        <v>22709</v>
      </c>
      <c r="F27" s="11">
        <f>SE(E27&lt;&gt;"",DATADIF(E27,HOJE(),"Y"),"")</f>
        <v/>
      </c>
      <c r="G27" s="11" t="n"/>
      <c r="H27" s="11">
        <f>SE(G27&lt;&gt;"",DATADIF(G27,HOJE(),"Y"),"")</f>
        <v/>
      </c>
      <c r="I27" s="11" t="inlineStr"/>
      <c r="J27" s="11" t="inlineStr"/>
      <c r="K27" s="11" t="inlineStr">
        <is>
          <t>Nova Odessa</t>
        </is>
      </c>
      <c r="L27" s="11" t="inlineStr"/>
      <c r="M27" s="11" t="inlineStr">
        <is>
          <t>Coordenadora do Apostolado</t>
        </is>
      </c>
      <c r="N27" s="11" t="inlineStr">
        <is>
          <t>Ativo</t>
        </is>
      </c>
      <c r="O27" s="11" t="inlineStr">
        <is>
          <t>Não</t>
        </is>
      </c>
      <c r="P27" s="11" t="n"/>
      <c r="Q27" s="11" t="inlineStr">
        <is>
          <t>Endereço e telefone não preenchidos.</t>
        </is>
      </c>
      <c r="R27" s="11" t="inlineStr">
        <is>
          <t>p.8</t>
        </is>
      </c>
    </row>
    <row r="28">
      <c r="A28" s="11" t="n">
        <v>28</v>
      </c>
      <c r="B28" s="11" t="inlineStr">
        <is>
          <t>28</t>
        </is>
      </c>
      <c r="C28" s="11" t="inlineStr">
        <is>
          <t>Luíza Marrick</t>
        </is>
      </c>
      <c r="D28" s="11" t="inlineStr">
        <is>
          <t>F</t>
        </is>
      </c>
      <c r="E28" s="12" t="n">
        <v>15578</v>
      </c>
      <c r="F28" s="11">
        <f>SE(E28&lt;&gt;"",DATADIF(E28,HOJE(),"Y"),"")</f>
        <v/>
      </c>
      <c r="G28" s="11" t="n"/>
      <c r="H28" s="11">
        <f>SE(G28&lt;&gt;"",DATADIF(G28,HOJE(),"Y"),"")</f>
        <v/>
      </c>
      <c r="I28" s="11" t="inlineStr"/>
      <c r="J28" s="11" t="inlineStr"/>
      <c r="K28" s="11" t="inlineStr">
        <is>
          <t>Nova Odessa</t>
        </is>
      </c>
      <c r="L28" s="11" t="inlineStr">
        <is>
          <t>(19) 3486-1575</t>
        </is>
      </c>
      <c r="M28" s="11" t="inlineStr"/>
      <c r="N28" s="11" t="inlineStr">
        <is>
          <t>Falecida</t>
        </is>
      </c>
      <c r="O28" s="11" t="inlineStr">
        <is>
          <t>Não</t>
        </is>
      </c>
      <c r="P28" s="11" t="n"/>
      <c r="Q28" s="11" t="inlineStr">
        <is>
          <t>Faleceu – data não registrada.</t>
        </is>
      </c>
      <c r="R28" s="11" t="inlineStr">
        <is>
          <t>p.8</t>
        </is>
      </c>
    </row>
    <row r="29">
      <c r="A29" s="11" t="n">
        <v>29</v>
      </c>
      <c r="B29" s="11" t="inlineStr">
        <is>
          <t>29</t>
        </is>
      </c>
      <c r="C29" s="11" t="inlineStr">
        <is>
          <t>Leonice</t>
        </is>
      </c>
      <c r="D29" s="11" t="inlineStr">
        <is>
          <t>F</t>
        </is>
      </c>
      <c r="E29" s="12" t="n">
        <v>16414</v>
      </c>
      <c r="F29" s="11">
        <f>SE(E29&lt;&gt;"",DATADIF(E29,HOJE(),"Y"),"")</f>
        <v/>
      </c>
      <c r="G29" s="11" t="n"/>
      <c r="H29" s="11">
        <f>SE(G29&lt;&gt;"",DATADIF(G29,HOJE(),"Y"),"")</f>
        <v/>
      </c>
      <c r="I29" s="11" t="inlineStr"/>
      <c r="J29" s="11" t="inlineStr"/>
      <c r="K29" s="11" t="inlineStr">
        <is>
          <t>Nova Odessa</t>
        </is>
      </c>
      <c r="L29" s="11" t="inlineStr"/>
      <c r="M29" s="11" t="inlineStr"/>
      <c r="N29" s="11" t="inlineStr">
        <is>
          <t>Falecida</t>
        </is>
      </c>
      <c r="O29" s="11" t="inlineStr">
        <is>
          <t>Não</t>
        </is>
      </c>
      <c r="P29" s="11" t="n"/>
      <c r="Q29" s="11" t="inlineStr">
        <is>
          <t>Sobrenome não registrado. Faleceu.</t>
        </is>
      </c>
      <c r="R29" s="11" t="inlineStr">
        <is>
          <t>p.8</t>
        </is>
      </c>
    </row>
    <row r="30">
      <c r="A30" s="11" t="n">
        <v>30</v>
      </c>
      <c r="B30" s="11" t="inlineStr">
        <is>
          <t>30</t>
        </is>
      </c>
      <c r="C30" s="11" t="inlineStr">
        <is>
          <t>Maria José</t>
        </is>
      </c>
      <c r="D30" s="11" t="inlineStr">
        <is>
          <t>F</t>
        </is>
      </c>
      <c r="E30" s="11" t="n"/>
      <c r="F30" s="11">
        <f>SE(E30&lt;&gt;"",DATADIF(E30,HOJE(),"Y"),"")</f>
        <v/>
      </c>
      <c r="G30" s="11" t="n"/>
      <c r="H30" s="11">
        <f>SE(G30&lt;&gt;"",DATADIF(G30,HOJE(),"Y"),"")</f>
        <v/>
      </c>
      <c r="I30" s="11" t="inlineStr"/>
      <c r="J30" s="11" t="inlineStr"/>
      <c r="K30" s="11" t="inlineStr">
        <is>
          <t>Nova Odessa</t>
        </is>
      </c>
      <c r="L30" s="11" t="inlineStr"/>
      <c r="M30" s="11" t="inlineStr"/>
      <c r="N30" s="11" t="inlineStr">
        <is>
          <t>Ativo</t>
        </is>
      </c>
      <c r="O30" s="11" t="inlineStr">
        <is>
          <t>Não</t>
        </is>
      </c>
      <c r="P30" s="11" t="n"/>
      <c r="Q30" s="11" t="inlineStr">
        <is>
          <t>Aniversário: 08/06, ano ilegível.</t>
        </is>
      </c>
      <c r="R30" s="11" t="inlineStr">
        <is>
          <t>p.8</t>
        </is>
      </c>
    </row>
    <row r="31">
      <c r="A31" s="11" t="n">
        <v>31</v>
      </c>
      <c r="B31" s="11" t="inlineStr">
        <is>
          <t>31</t>
        </is>
      </c>
      <c r="C31" s="11" t="inlineStr">
        <is>
          <t>Maria de Lourdes</t>
        </is>
      </c>
      <c r="D31" s="11" t="inlineStr">
        <is>
          <t>F</t>
        </is>
      </c>
      <c r="E31" s="12" t="n">
        <v>15781</v>
      </c>
      <c r="F31" s="11">
        <f>SE(E31&lt;&gt;"",DATADIF(E31,HOJE(),"Y"),"")</f>
        <v/>
      </c>
      <c r="G31" s="11" t="n"/>
      <c r="H31" s="11">
        <f>SE(G31&lt;&gt;"",DATADIF(G31,HOJE(),"Y"),"")</f>
        <v/>
      </c>
      <c r="I31" s="11" t="inlineStr"/>
      <c r="J31" s="11" t="inlineStr"/>
      <c r="K31" s="11" t="inlineStr">
        <is>
          <t>Nova Odessa</t>
        </is>
      </c>
      <c r="L31" s="11" t="inlineStr"/>
      <c r="M31" s="11" t="inlineStr"/>
      <c r="N31" s="11" t="inlineStr">
        <is>
          <t>Falecida</t>
        </is>
      </c>
      <c r="O31" s="11" t="inlineStr">
        <is>
          <t>Não</t>
        </is>
      </c>
      <c r="P31" s="11" t="n"/>
      <c r="Q31" s="11" t="inlineStr">
        <is>
          <t>Faleceu – data não registrada.</t>
        </is>
      </c>
      <c r="R31" s="11" t="inlineStr">
        <is>
          <t>p.8</t>
        </is>
      </c>
    </row>
    <row r="32">
      <c r="A32" s="11" t="n">
        <v>32</v>
      </c>
      <c r="B32" s="11" t="inlineStr">
        <is>
          <t>32</t>
        </is>
      </c>
      <c r="C32" s="11" t="inlineStr">
        <is>
          <t>Rosa Pigato</t>
        </is>
      </c>
      <c r="D32" s="11" t="inlineStr">
        <is>
          <t>F</t>
        </is>
      </c>
      <c r="E32" s="11" t="n"/>
      <c r="F32" s="11">
        <f>SE(E32&lt;&gt;"",DATADIF(E32,HOJE(),"Y"),"")</f>
        <v/>
      </c>
      <c r="G32" s="11" t="n"/>
      <c r="H32" s="11">
        <f>SE(G32&lt;&gt;"",DATADIF(G32,HOJE(),"Y"),"")</f>
        <v/>
      </c>
      <c r="I32" s="11" t="inlineStr"/>
      <c r="J32" s="11" t="inlineStr"/>
      <c r="K32" s="11" t="inlineStr">
        <is>
          <t>Nova Odessa</t>
        </is>
      </c>
      <c r="L32" s="11" t="inlineStr"/>
      <c r="M32" s="11" t="inlineStr"/>
      <c r="N32" s="11" t="inlineStr">
        <is>
          <t>Falecida</t>
        </is>
      </c>
      <c r="O32" s="11" t="inlineStr">
        <is>
          <t>Não</t>
        </is>
      </c>
      <c r="P32" s="11" t="n"/>
      <c r="Q32" s="11" t="inlineStr">
        <is>
          <t>Aniversário: 15/02, ano ilegível. Faleceu.</t>
        </is>
      </c>
      <c r="R32" s="11" t="inlineStr">
        <is>
          <t>p.8</t>
        </is>
      </c>
    </row>
    <row r="33">
      <c r="A33" s="11" t="n">
        <v>33</v>
      </c>
      <c r="B33" s="11" t="inlineStr">
        <is>
          <t>33</t>
        </is>
      </c>
      <c r="C33" s="11" t="inlineStr">
        <is>
          <t>Maria Soares</t>
        </is>
      </c>
      <c r="D33" s="11" t="inlineStr">
        <is>
          <t>F</t>
        </is>
      </c>
      <c r="E33" s="11" t="n"/>
      <c r="F33" s="11">
        <f>SE(E33&lt;&gt;"",DATADIF(E33,HOJE(),"Y"),"")</f>
        <v/>
      </c>
      <c r="G33" s="11" t="n"/>
      <c r="H33" s="11">
        <f>SE(G33&lt;&gt;"",DATADIF(G33,HOJE(),"Y"),"")</f>
        <v/>
      </c>
      <c r="I33" s="11" t="inlineStr"/>
      <c r="J33" s="11" t="inlineStr"/>
      <c r="K33" s="11" t="inlineStr">
        <is>
          <t>Nova Odessa</t>
        </is>
      </c>
      <c r="L33" s="11" t="inlineStr"/>
      <c r="M33" s="11" t="inlineStr"/>
      <c r="N33" s="11" t="inlineStr">
        <is>
          <t>Falecida</t>
        </is>
      </c>
      <c r="O33" s="11" t="inlineStr">
        <is>
          <t>Não</t>
        </is>
      </c>
      <c r="P33" s="11" t="n"/>
      <c r="Q33" s="11" t="inlineStr">
        <is>
          <t>Aniversário completamente ilegível. Faleceu.</t>
        </is>
      </c>
      <c r="R33" s="11" t="inlineStr">
        <is>
          <t>p.8b</t>
        </is>
      </c>
    </row>
    <row r="34">
      <c r="A34" s="11" t="n">
        <v>34</v>
      </c>
      <c r="B34" s="11" t="inlineStr">
        <is>
          <t>34</t>
        </is>
      </c>
      <c r="C34" s="11" t="inlineStr">
        <is>
          <t>Nair Leal Damas</t>
        </is>
      </c>
      <c r="D34" s="11" t="inlineStr">
        <is>
          <t>F</t>
        </is>
      </c>
      <c r="E34" s="12" t="n">
        <v>14437</v>
      </c>
      <c r="F34" s="11">
        <f>SE(E34&lt;&gt;"",DATADIF(E34,HOJE(),"Y"),"")</f>
        <v/>
      </c>
      <c r="G34" s="12" t="n">
        <v>26665</v>
      </c>
      <c r="H34" s="11">
        <f>SE(G34&lt;&gt;"",DATADIF(G34,HOJE(),"Y"),"")</f>
        <v/>
      </c>
      <c r="I34" s="11" t="inlineStr">
        <is>
          <t>Rua Dirceu Joc Boscori, 26</t>
        </is>
      </c>
      <c r="J34" s="11" t="inlineStr">
        <is>
          <t>Santa Luíza I</t>
        </is>
      </c>
      <c r="K34" s="11" t="inlineStr">
        <is>
          <t>Nova Odessa</t>
        </is>
      </c>
      <c r="L34" s="11" t="inlineStr"/>
      <c r="M34" s="11" t="inlineStr"/>
      <c r="N34" s="11" t="inlineStr">
        <is>
          <t>Ativo</t>
        </is>
      </c>
      <c r="O34" s="11" t="inlineStr">
        <is>
          <t>Não</t>
        </is>
      </c>
      <c r="P34" s="11" t="n"/>
      <c r="Q34" s="11" t="inlineStr">
        <is>
          <t>Participa do Apostolado desde 1973.</t>
        </is>
      </c>
      <c r="R34" s="11" t="inlineStr">
        <is>
          <t>p.8b</t>
        </is>
      </c>
    </row>
    <row r="35">
      <c r="A35" s="11" t="n">
        <v>35</v>
      </c>
      <c r="B35" s="11" t="inlineStr">
        <is>
          <t>35</t>
        </is>
      </c>
      <c r="C35" s="11" t="inlineStr">
        <is>
          <t>Neuza Rafa</t>
        </is>
      </c>
      <c r="D35" s="11" t="inlineStr">
        <is>
          <t>F</t>
        </is>
      </c>
      <c r="E35" s="12" t="n">
        <v>20511</v>
      </c>
      <c r="F35" s="11">
        <f>SE(E35&lt;&gt;"",DATADIF(E35,HOJE(),"Y"),"")</f>
        <v/>
      </c>
      <c r="G35" s="11" t="n"/>
      <c r="H35" s="11">
        <f>SE(G35&lt;&gt;"",DATADIF(G35,HOJE(),"Y"),"")</f>
        <v/>
      </c>
      <c r="I35" s="11" t="inlineStr"/>
      <c r="J35" s="11" t="inlineStr"/>
      <c r="K35" s="11" t="inlineStr">
        <is>
          <t>Nova Odessa</t>
        </is>
      </c>
      <c r="L35" s="11" t="inlineStr"/>
      <c r="M35" s="11" t="inlineStr"/>
      <c r="N35" s="11" t="inlineStr">
        <is>
          <t>Ativo</t>
        </is>
      </c>
      <c r="O35" s="11" t="inlineStr">
        <is>
          <t>Não</t>
        </is>
      </c>
      <c r="P35" s="11" t="n"/>
      <c r="Q35" s="11" t="inlineStr">
        <is>
          <t>Sobrenome 'Rafa' pode ser abreviação.</t>
        </is>
      </c>
      <c r="R35" s="11" t="inlineStr">
        <is>
          <t>p.8b</t>
        </is>
      </c>
    </row>
    <row r="36">
      <c r="A36" s="11" t="n">
        <v>36</v>
      </c>
      <c r="B36" s="11" t="inlineStr">
        <is>
          <t>36</t>
        </is>
      </c>
      <c r="C36" s="11" t="inlineStr">
        <is>
          <t>Natália</t>
        </is>
      </c>
      <c r="D36" s="11" t="inlineStr">
        <is>
          <t>F</t>
        </is>
      </c>
      <c r="E36" s="12" t="n">
        <v>18257</v>
      </c>
      <c r="F36" s="11">
        <f>SE(E36&lt;&gt;"",DATADIF(E36,HOJE(),"Y"),"")</f>
        <v/>
      </c>
      <c r="G36" s="11" t="n"/>
      <c r="H36" s="11">
        <f>SE(G36&lt;&gt;"",DATADIF(G36,HOJE(),"Y"),"")</f>
        <v/>
      </c>
      <c r="I36" s="11" t="inlineStr">
        <is>
          <t>Rua Aristides Benedito, 11</t>
        </is>
      </c>
      <c r="J36" s="11" t="inlineStr">
        <is>
          <t>Triunfo</t>
        </is>
      </c>
      <c r="K36" s="11" t="inlineStr">
        <is>
          <t>Nova Odessa</t>
        </is>
      </c>
      <c r="L36" s="11" t="inlineStr">
        <is>
          <t>(19) 99296-37??</t>
        </is>
      </c>
      <c r="M36" s="11" t="inlineStr"/>
      <c r="N36" s="11" t="inlineStr">
        <is>
          <t>Ativo</t>
        </is>
      </c>
      <c r="O36" s="11" t="inlineStr">
        <is>
          <t>Não</t>
        </is>
      </c>
      <c r="P36" s="11" t="n"/>
      <c r="Q36" s="11" t="inlineStr">
        <is>
          <t>Sobrenome não registrado.</t>
        </is>
      </c>
      <c r="R36" s="11" t="inlineStr">
        <is>
          <t>p.8b</t>
        </is>
      </c>
    </row>
    <row r="37">
      <c r="A37" s="11" t="n">
        <v>37</v>
      </c>
      <c r="B37" s="11" t="inlineStr">
        <is>
          <t>37</t>
        </is>
      </c>
      <c r="C37" s="11" t="inlineStr">
        <is>
          <t>Olímpia Straiotto Garcia</t>
        </is>
      </c>
      <c r="D37" s="11" t="inlineStr">
        <is>
          <t>F</t>
        </is>
      </c>
      <c r="E37" s="12" t="n">
        <v>14324</v>
      </c>
      <c r="F37" s="11">
        <f>SE(E37&lt;&gt;"",DATADIF(E37,HOJE(),"Y"),"")</f>
        <v/>
      </c>
      <c r="G37" s="11" t="n"/>
      <c r="H37" s="11">
        <f>SE(G37&lt;&gt;"",DATADIF(G37,HOJE(),"Y"),"")</f>
        <v/>
      </c>
      <c r="I37" s="11" t="inlineStr"/>
      <c r="J37" s="11" t="inlineStr"/>
      <c r="K37" s="11" t="inlineStr">
        <is>
          <t>Nova Odessa</t>
        </is>
      </c>
      <c r="L37" s="11" t="inlineStr"/>
      <c r="M37" s="11" t="inlineStr">
        <is>
          <t>Coordenadora Apostolado – Comunidade Santa Luzia</t>
        </is>
      </c>
      <c r="N37" s="11" t="inlineStr">
        <is>
          <t>Falecida</t>
        </is>
      </c>
      <c r="O37" s="11" t="inlineStr">
        <is>
          <t>Não</t>
        </is>
      </c>
      <c r="P37" s="11" t="n"/>
      <c r="Q37" s="11" t="inlineStr">
        <is>
          <t>FALECEU EM 15/04/2024.</t>
        </is>
      </c>
      <c r="R37" s="11" t="inlineStr">
        <is>
          <t>p.8b</t>
        </is>
      </c>
    </row>
    <row r="38">
      <c r="A38" s="11" t="n">
        <v>38</v>
      </c>
      <c r="B38" s="11" t="inlineStr">
        <is>
          <t>38</t>
        </is>
      </c>
      <c r="C38" s="11" t="inlineStr">
        <is>
          <t>Osmar Caetano</t>
        </is>
      </c>
      <c r="D38" s="11" t="inlineStr">
        <is>
          <t>M</t>
        </is>
      </c>
      <c r="E38" s="12" t="n">
        <v>22738</v>
      </c>
      <c r="F38" s="11">
        <f>SE(E38&lt;&gt;"",DATADIF(E38,HOJE(),"Y"),"")</f>
        <v/>
      </c>
      <c r="G38" s="11" t="n"/>
      <c r="H38" s="11">
        <f>SE(G38&lt;&gt;"",DATADIF(G38,HOJE(),"Y"),"")</f>
        <v/>
      </c>
      <c r="I38" s="11" t="inlineStr">
        <is>
          <t>Rua das Crianças, 1164</t>
        </is>
      </c>
      <c r="J38" s="11" t="inlineStr">
        <is>
          <t>N. Sra. de Fátima</t>
        </is>
      </c>
      <c r="K38" s="11" t="inlineStr">
        <is>
          <t>Nova Odessa</t>
        </is>
      </c>
      <c r="L38" s="11" t="inlineStr"/>
      <c r="M38" s="11" t="inlineStr"/>
      <c r="N38" s="11" t="inlineStr">
        <is>
          <t>Ativo</t>
        </is>
      </c>
      <c r="O38" s="11" t="inlineStr">
        <is>
          <t>Não</t>
        </is>
      </c>
      <c r="P38" s="11" t="n"/>
      <c r="Q38" s="11" t="inlineStr">
        <is>
          <t>Marido de Helena Rosante (#17).</t>
        </is>
      </c>
      <c r="R38" s="11" t="inlineStr">
        <is>
          <t>p.8b</t>
        </is>
      </c>
    </row>
    <row r="39">
      <c r="A39" s="11" t="n">
        <v>39</v>
      </c>
      <c r="B39" s="11" t="inlineStr">
        <is>
          <t>39</t>
        </is>
      </c>
      <c r="C39" s="11" t="inlineStr">
        <is>
          <t>Pedro</t>
        </is>
      </c>
      <c r="D39" s="11" t="inlineStr">
        <is>
          <t>M</t>
        </is>
      </c>
      <c r="E39" s="12" t="n">
        <v>36559</v>
      </c>
      <c r="F39" s="11">
        <f>SE(E39&lt;&gt;"",DATADIF(E39,HOJE(),"Y"),"")</f>
        <v/>
      </c>
      <c r="G39" s="11" t="n"/>
      <c r="H39" s="11">
        <f>SE(G39&lt;&gt;"",DATADIF(G39,HOJE(),"Y"),"")</f>
        <v/>
      </c>
      <c r="I39" s="11" t="inlineStr"/>
      <c r="J39" s="11" t="inlineStr"/>
      <c r="K39" s="11" t="inlineStr">
        <is>
          <t>Nova Odessa</t>
        </is>
      </c>
      <c r="L39" s="11" t="inlineStr"/>
      <c r="M39" s="11" t="inlineStr"/>
      <c r="N39" s="11" t="inlineStr">
        <is>
          <t>Ativo</t>
        </is>
      </c>
      <c r="O39" s="11" t="inlineStr">
        <is>
          <t>Não</t>
        </is>
      </c>
      <c r="P39" s="11" t="n"/>
      <c r="Q39" s="11" t="inlineStr">
        <is>
          <t>Registro fragmentado entre páginas 8b e 9.</t>
        </is>
      </c>
      <c r="R39" s="11" t="inlineStr">
        <is>
          <t>p.8b/9</t>
        </is>
      </c>
    </row>
    <row r="40">
      <c r="A40" s="11" t="n">
        <v>40</v>
      </c>
      <c r="B40" s="11" t="inlineStr">
        <is>
          <t>40</t>
        </is>
      </c>
      <c r="C40" s="11" t="inlineStr">
        <is>
          <t>Osinete Aparecida dos Santos</t>
        </is>
      </c>
      <c r="D40" s="11" t="inlineStr">
        <is>
          <t>F</t>
        </is>
      </c>
      <c r="E40" s="12" t="n">
        <v>28725</v>
      </c>
      <c r="F40" s="11">
        <f>SE(E40&lt;&gt;"",DATADIF(E40,HOJE(),"Y"),"")</f>
        <v/>
      </c>
      <c r="G40" s="11" t="n"/>
      <c r="H40" s="11">
        <f>SE(G40&lt;&gt;"",DATADIF(G40,HOJE(),"Y"),"")</f>
        <v/>
      </c>
      <c r="I40" s="11" t="inlineStr">
        <is>
          <t>Rua da Amizade, 282</t>
        </is>
      </c>
      <c r="J40" s="11" t="inlineStr">
        <is>
          <t>Terranova</t>
        </is>
      </c>
      <c r="K40" s="11" t="inlineStr">
        <is>
          <t>Nova Odessa</t>
        </is>
      </c>
      <c r="L40" s="11" t="inlineStr">
        <is>
          <t>(19) 99825-5018</t>
        </is>
      </c>
      <c r="M40" s="11" t="inlineStr"/>
      <c r="N40" s="11" t="inlineStr">
        <is>
          <t>Ativo</t>
        </is>
      </c>
      <c r="O40" s="11" t="inlineStr">
        <is>
          <t>Não</t>
        </is>
      </c>
      <c r="P40" s="11" t="n"/>
      <c r="Q40" s="11" t="inlineStr">
        <is>
          <t>Filha de Santa Luzia.</t>
        </is>
      </c>
      <c r="R40" s="11" t="inlineStr">
        <is>
          <t>p.9</t>
        </is>
      </c>
    </row>
    <row r="41">
      <c r="A41" s="11" t="n">
        <v>41</v>
      </c>
      <c r="B41" s="11" t="inlineStr">
        <is>
          <t>41</t>
        </is>
      </c>
      <c r="C41" s="11" t="inlineStr">
        <is>
          <t>Odete</t>
        </is>
      </c>
      <c r="D41" s="11" t="inlineStr">
        <is>
          <t>F</t>
        </is>
      </c>
      <c r="E41" s="12" t="n">
        <v>17644</v>
      </c>
      <c r="F41" s="11">
        <f>SE(E41&lt;&gt;"",DATADIF(E41,HOJE(),"Y"),"")</f>
        <v/>
      </c>
      <c r="G41" s="11" t="n"/>
      <c r="H41" s="11">
        <f>SE(G41&lt;&gt;"",DATADIF(G41,HOJE(),"Y"),"")</f>
        <v/>
      </c>
      <c r="I41" s="11" t="inlineStr"/>
      <c r="J41" s="11" t="inlineStr"/>
      <c r="K41" s="11" t="inlineStr">
        <is>
          <t>Nova Odessa</t>
        </is>
      </c>
      <c r="L41" s="11" t="inlineStr"/>
      <c r="M41" s="11" t="inlineStr"/>
      <c r="N41" s="11" t="inlineStr">
        <is>
          <t>Ativo</t>
        </is>
      </c>
      <c r="O41" s="11" t="inlineStr">
        <is>
          <t>Não</t>
        </is>
      </c>
      <c r="P41" s="11" t="n"/>
      <c r="Q41" s="11" t="inlineStr">
        <is>
          <t>Sobrenome, endereço e telefone não registrados.</t>
        </is>
      </c>
      <c r="R41" s="11" t="inlineStr">
        <is>
          <t>p.9</t>
        </is>
      </c>
    </row>
    <row r="42">
      <c r="A42" s="11" t="n">
        <v>42</v>
      </c>
      <c r="B42" s="11" t="inlineStr">
        <is>
          <t>42</t>
        </is>
      </c>
      <c r="C42" s="11" t="inlineStr">
        <is>
          <t>Simone Aparecida Frizoni</t>
        </is>
      </c>
      <c r="D42" s="11" t="inlineStr">
        <is>
          <t>F</t>
        </is>
      </c>
      <c r="E42" s="12" t="n">
        <v>32284</v>
      </c>
      <c r="F42" s="11">
        <f>SE(E42&lt;&gt;"",DATADIF(E42,HOJE(),"Y"),"")</f>
        <v/>
      </c>
      <c r="G42" s="11" t="n"/>
      <c r="H42" s="11">
        <f>SE(G42&lt;&gt;"",DATADIF(G42,HOJE(),"Y"),"")</f>
        <v/>
      </c>
      <c r="I42" s="11" t="inlineStr">
        <is>
          <t>Rua João Batista de Almeida, 24</t>
        </is>
      </c>
      <c r="J42" s="11" t="inlineStr">
        <is>
          <t>Triunfo</t>
        </is>
      </c>
      <c r="K42" s="11" t="inlineStr">
        <is>
          <t>Nova Odessa</t>
        </is>
      </c>
      <c r="L42" s="11" t="inlineStr">
        <is>
          <t>(19) 99287-6936</t>
        </is>
      </c>
      <c r="M42" s="11" t="inlineStr"/>
      <c r="N42" s="11" t="inlineStr">
        <is>
          <t>Ativo</t>
        </is>
      </c>
      <c r="O42" s="11" t="inlineStr">
        <is>
          <t>Não</t>
        </is>
      </c>
      <c r="P42" s="11" t="n"/>
      <c r="Q42" s="11" t="inlineStr">
        <is>
          <t>Provável parente de Eurípia Frizoni (#43).</t>
        </is>
      </c>
      <c r="R42" s="11" t="inlineStr">
        <is>
          <t>p.9</t>
        </is>
      </c>
    </row>
    <row r="43">
      <c r="A43" s="11" t="n">
        <v>43</v>
      </c>
      <c r="B43" s="11" t="inlineStr">
        <is>
          <t>43</t>
        </is>
      </c>
      <c r="C43" s="11" t="inlineStr">
        <is>
          <t>Eurípia Aparecida Rafael Frizoni</t>
        </is>
      </c>
      <c r="D43" s="11" t="inlineStr">
        <is>
          <t>F</t>
        </is>
      </c>
      <c r="E43" s="12" t="n">
        <v>19228</v>
      </c>
      <c r="F43" s="11">
        <f>SE(E43&lt;&gt;"",DATADIF(E43,HOJE(),"Y"),"")</f>
        <v/>
      </c>
      <c r="G43" s="11" t="n"/>
      <c r="H43" s="11">
        <f>SE(G43&lt;&gt;"",DATADIF(G43,HOJE(),"Y"),"")</f>
        <v/>
      </c>
      <c r="I43" s="11" t="inlineStr">
        <is>
          <t>Rua João Batista de Almeida, 24</t>
        </is>
      </c>
      <c r="J43" s="11" t="inlineStr">
        <is>
          <t>Triunfo</t>
        </is>
      </c>
      <c r="K43" s="11" t="inlineStr">
        <is>
          <t>Nova Odessa</t>
        </is>
      </c>
      <c r="L43" s="11" t="inlineStr">
        <is>
          <t>(19) 99612-0246</t>
        </is>
      </c>
      <c r="M43" s="11" t="inlineStr"/>
      <c r="N43" s="11" t="inlineStr">
        <is>
          <t>Ativo</t>
        </is>
      </c>
      <c r="O43" s="11" t="inlineStr">
        <is>
          <t>Não</t>
        </is>
      </c>
      <c r="P43" s="11" t="n"/>
      <c r="Q43" s="11" t="inlineStr">
        <is>
          <t>Mesma residência de Simone Frizoni (#42).</t>
        </is>
      </c>
      <c r="R43" s="11" t="inlineStr">
        <is>
          <t>p.9</t>
        </is>
      </c>
    </row>
    <row r="44">
      <c r="A44" s="11" t="n">
        <v>44</v>
      </c>
      <c r="B44" s="11" t="inlineStr">
        <is>
          <t>44</t>
        </is>
      </c>
      <c r="C44" s="11" t="inlineStr">
        <is>
          <t>Valdomira Marestoni (D. Nena)</t>
        </is>
      </c>
      <c r="D44" s="11" t="inlineStr">
        <is>
          <t>F</t>
        </is>
      </c>
      <c r="E44" s="12" t="n">
        <v>16694</v>
      </c>
      <c r="F44" s="11">
        <f>SE(E44&lt;&gt;"",DATADIF(E44,HOJE(),"Y"),"")</f>
        <v/>
      </c>
      <c r="G44" s="11" t="n"/>
      <c r="H44" s="11">
        <f>SE(G44&lt;&gt;"",DATADIF(G44,HOJE(),"Y"),"")</f>
        <v/>
      </c>
      <c r="I44" s="11" t="inlineStr">
        <is>
          <t>Rua Antônio Dorto Sobrinho, 89</t>
        </is>
      </c>
      <c r="J44" s="11" t="inlineStr">
        <is>
          <t>Santa Luíza I</t>
        </is>
      </c>
      <c r="K44" s="11" t="inlineStr">
        <is>
          <t>Nova Odessa</t>
        </is>
      </c>
      <c r="L44" s="11" t="inlineStr">
        <is>
          <t>(19) 99373-1760</t>
        </is>
      </c>
      <c r="M44" s="11" t="inlineStr"/>
      <c r="N44" s="11" t="inlineStr">
        <is>
          <t>Ativo</t>
        </is>
      </c>
      <c r="O44" s="11" t="inlineStr">
        <is>
          <t>Não</t>
        </is>
      </c>
      <c r="P44" s="11" t="n"/>
      <c r="Q44" s="11" t="inlineStr">
        <is>
          <t>Conhecida como D. Nena.</t>
        </is>
      </c>
      <c r="R44" s="11" t="inlineStr">
        <is>
          <t>p.9</t>
        </is>
      </c>
    </row>
    <row r="45">
      <c r="A45" s="11" t="n">
        <v>45</v>
      </c>
      <c r="B45" s="11" t="inlineStr">
        <is>
          <t>45</t>
        </is>
      </c>
      <c r="C45" s="11" t="inlineStr">
        <is>
          <t>Helena</t>
        </is>
      </c>
      <c r="D45" s="11" t="inlineStr">
        <is>
          <t>F</t>
        </is>
      </c>
      <c r="E45" s="12" t="n">
        <v>16044</v>
      </c>
      <c r="F45" s="11">
        <f>SE(E45&lt;&gt;"",DATADIF(E45,HOJE(),"Y"),"")</f>
        <v/>
      </c>
      <c r="G45" s="11" t="n"/>
      <c r="H45" s="11">
        <f>SE(G45&lt;&gt;"",DATADIF(G45,HOJE(),"Y"),"")</f>
        <v/>
      </c>
      <c r="I45" s="11" t="inlineStr"/>
      <c r="J45" s="11" t="inlineStr"/>
      <c r="K45" s="11" t="inlineStr">
        <is>
          <t>Nova Odessa</t>
        </is>
      </c>
      <c r="L45" s="11" t="inlineStr"/>
      <c r="M45" s="11" t="inlineStr"/>
      <c r="N45" s="11" t="inlineStr">
        <is>
          <t>Ativo</t>
        </is>
      </c>
      <c r="O45" s="11" t="inlineStr">
        <is>
          <t>Não</t>
        </is>
      </c>
      <c r="P45" s="11" t="n"/>
      <c r="Q45" s="11" t="inlineStr">
        <is>
          <t>POSSÍVEL DUPLICIDADE com Helena Rosante (#17) – revisar urgente.</t>
        </is>
      </c>
      <c r="R45" s="11" t="inlineStr">
        <is>
          <t>p.9</t>
        </is>
      </c>
    </row>
    <row r="46">
      <c r="A46" s="11" t="n">
        <v>46</v>
      </c>
      <c r="B46" s="11" t="inlineStr">
        <is>
          <t>46</t>
        </is>
      </c>
      <c r="C46" s="11" t="inlineStr">
        <is>
          <t>Isabel Ferreira Lopes (Izabel)</t>
        </is>
      </c>
      <c r="D46" s="11" t="inlineStr">
        <is>
          <t>F</t>
        </is>
      </c>
      <c r="E46" s="12" t="n">
        <v>23132</v>
      </c>
      <c r="F46" s="11">
        <f>SE(E46&lt;&gt;"",DATADIF(E46,HOJE(),"Y"),"")</f>
        <v/>
      </c>
      <c r="G46" s="11" t="n"/>
      <c r="H46" s="11">
        <f>SE(G46&lt;&gt;"",DATADIF(G46,HOJE(),"Y"),"")</f>
        <v/>
      </c>
      <c r="I46" s="11" t="inlineStr">
        <is>
          <t>Rua João Batista de Almeida, 43</t>
        </is>
      </c>
      <c r="J46" s="11" t="inlineStr">
        <is>
          <t>Triunfo</t>
        </is>
      </c>
      <c r="K46" s="11" t="inlineStr">
        <is>
          <t>Nova Odessa</t>
        </is>
      </c>
      <c r="L46" s="11" t="inlineStr">
        <is>
          <t>(19) 99806-9342</t>
        </is>
      </c>
      <c r="M46" s="11" t="inlineStr"/>
      <c r="N46" s="11" t="inlineStr">
        <is>
          <t>Ativo</t>
        </is>
      </c>
      <c r="O46" s="11" t="inlineStr">
        <is>
          <t>Não</t>
        </is>
      </c>
      <c r="P46" s="11" t="n"/>
      <c r="Q46" s="11" t="inlineStr">
        <is>
          <t>Também grafada 'Izabel'.</t>
        </is>
      </c>
      <c r="R46" s="11" t="inlineStr">
        <is>
          <t>p.9b</t>
        </is>
      </c>
    </row>
    <row r="47">
      <c r="A47" s="11" t="n">
        <v>47</v>
      </c>
      <c r="B47" s="11" t="inlineStr">
        <is>
          <t>47</t>
        </is>
      </c>
      <c r="C47" s="11" t="inlineStr">
        <is>
          <t>Joanda</t>
        </is>
      </c>
      <c r="D47" s="11" t="inlineStr">
        <is>
          <t>F</t>
        </is>
      </c>
      <c r="E47" s="12" t="n">
        <v>17502</v>
      </c>
      <c r="F47" s="11">
        <f>SE(E47&lt;&gt;"",DATADIF(E47,HOJE(),"Y"),"")</f>
        <v/>
      </c>
      <c r="G47" s="11" t="n"/>
      <c r="H47" s="11">
        <f>SE(G47&lt;&gt;"",DATADIF(G47,HOJE(),"Y"),"")</f>
        <v/>
      </c>
      <c r="I47" s="11" t="inlineStr"/>
      <c r="J47" s="11" t="inlineStr"/>
      <c r="K47" s="11" t="inlineStr">
        <is>
          <t>Nova Odessa</t>
        </is>
      </c>
      <c r="L47" s="11" t="inlineStr"/>
      <c r="M47" s="11" t="inlineStr"/>
      <c r="N47" s="11" t="inlineStr">
        <is>
          <t>Ativo</t>
        </is>
      </c>
      <c r="O47" s="11" t="inlineStr">
        <is>
          <t>Não</t>
        </is>
      </c>
      <c r="P47" s="11" t="n"/>
      <c r="Q47" s="11" t="inlineStr">
        <is>
          <t>Grafia incomum – confirmar com membro.</t>
        </is>
      </c>
      <c r="R47" s="11" t="inlineStr">
        <is>
          <t>p.9b</t>
        </is>
      </c>
    </row>
    <row r="48">
      <c r="A48" s="11" t="n">
        <v>48</v>
      </c>
      <c r="B48" s="11" t="inlineStr">
        <is>
          <t>48</t>
        </is>
      </c>
      <c r="C48" s="11" t="inlineStr">
        <is>
          <t>Rosangela Alves Amorim de Oliveira</t>
        </is>
      </c>
      <c r="D48" s="11" t="inlineStr">
        <is>
          <t>F</t>
        </is>
      </c>
      <c r="E48" s="12" t="n">
        <v>26818</v>
      </c>
      <c r="F48" s="11">
        <f>SE(E48&lt;&gt;"",DATADIF(E48,HOJE(),"Y"),"")</f>
        <v/>
      </c>
      <c r="G48" s="12" t="n">
        <v>43525</v>
      </c>
      <c r="H48" s="11">
        <f>SE(G48&lt;&gt;"",DATADIF(G48,HOJE(),"Y"),"")</f>
        <v/>
      </c>
      <c r="I48" s="11" t="inlineStr">
        <is>
          <t>Rua Frederico Lanzoni, 191</t>
        </is>
      </c>
      <c r="J48" s="11" t="inlineStr">
        <is>
          <t>Santa Luíza II</t>
        </is>
      </c>
      <c r="K48" s="11" t="inlineStr">
        <is>
          <t>Nova Odessa</t>
        </is>
      </c>
      <c r="L48" s="11" t="inlineStr"/>
      <c r="M48" s="11" t="inlineStr"/>
      <c r="N48" s="11" t="inlineStr">
        <is>
          <t>Ativo</t>
        </is>
      </c>
      <c r="O48" s="11" t="inlineStr">
        <is>
          <t>Não</t>
        </is>
      </c>
      <c r="P48" s="11" t="n"/>
      <c r="Q48" s="11" t="inlineStr">
        <is>
          <t>Membro desde 01/03/2019 – Paróquia São Jorge.</t>
        </is>
      </c>
      <c r="R48" s="11" t="inlineStr">
        <is>
          <t>p.9b</t>
        </is>
      </c>
    </row>
    <row r="49">
      <c r="A49" s="11" t="n">
        <v>49</v>
      </c>
      <c r="B49" s="11" t="inlineStr">
        <is>
          <t>49</t>
        </is>
      </c>
      <c r="C49" s="11" t="inlineStr">
        <is>
          <t>Marlene Degan Fabro</t>
        </is>
      </c>
      <c r="D49" s="11" t="inlineStr">
        <is>
          <t>F</t>
        </is>
      </c>
      <c r="E49" s="12" t="n">
        <v>21480</v>
      </c>
      <c r="F49" s="11">
        <f>SE(E49&lt;&gt;"",DATADIF(E49,HOJE(),"Y"),"")</f>
        <v/>
      </c>
      <c r="G49" s="12" t="n">
        <v>45814</v>
      </c>
      <c r="H49" s="11">
        <f>SE(G49&lt;&gt;"",DATADIF(G49,HOJE(),"Y"),"")</f>
        <v/>
      </c>
      <c r="I49" s="11" t="inlineStr">
        <is>
          <t>Alameda do Saber, 8</t>
        </is>
      </c>
      <c r="J49" s="11" t="inlineStr">
        <is>
          <t>Jd. Fibra</t>
        </is>
      </c>
      <c r="K49" s="11" t="inlineStr">
        <is>
          <t>Nova Odessa</t>
        </is>
      </c>
      <c r="L49" s="11" t="inlineStr">
        <is>
          <t>(19) 99765-890?</t>
        </is>
      </c>
      <c r="M49" s="11" t="inlineStr">
        <is>
          <t>Pastoral Litúrgica</t>
        </is>
      </c>
      <c r="N49" s="11" t="inlineStr">
        <is>
          <t>Ativo</t>
        </is>
      </c>
      <c r="O49" s="11" t="inlineStr">
        <is>
          <t>Não</t>
        </is>
      </c>
      <c r="P49" s="11" t="n"/>
      <c r="Q49" s="11" t="inlineStr">
        <is>
          <t>Pastoral Litúrgica – Irmã Joyce.</t>
        </is>
      </c>
      <c r="R49" s="11" t="inlineStr">
        <is>
          <t>p.9b</t>
        </is>
      </c>
    </row>
    <row r="50">
      <c r="A50" s="11" t="n">
        <v>50</v>
      </c>
      <c r="B50" s="11" t="inlineStr">
        <is>
          <t>50</t>
        </is>
      </c>
      <c r="C50" s="11" t="inlineStr">
        <is>
          <t>Luiz Ferreira de Paula</t>
        </is>
      </c>
      <c r="D50" s="11" t="inlineStr">
        <is>
          <t>M</t>
        </is>
      </c>
      <c r="E50" s="11" t="n"/>
      <c r="F50" s="11">
        <f>SE(E50&lt;&gt;"",DATADIF(E50,HOJE(),"Y"),"")</f>
        <v/>
      </c>
      <c r="G50" s="11" t="n"/>
      <c r="H50" s="11">
        <f>SE(G50&lt;&gt;"",DATADIF(G50,HOJE(),"Y"),"")</f>
        <v/>
      </c>
      <c r="I50" s="11" t="inlineStr">
        <is>
          <t>Rua Professor Antônio F. Gonçalves, 31</t>
        </is>
      </c>
      <c r="J50" s="11" t="inlineStr">
        <is>
          <t>Triunfo</t>
        </is>
      </c>
      <c r="K50" s="11" t="inlineStr">
        <is>
          <t>Nova Odessa</t>
        </is>
      </c>
      <c r="L50" s="11" t="inlineStr">
        <is>
          <t>(11) 98740-5105</t>
        </is>
      </c>
      <c r="M50" s="11" t="inlineStr">
        <is>
          <t>Pastoral da Criança</t>
        </is>
      </c>
      <c r="N50" s="11" t="inlineStr">
        <is>
          <t>Ativo</t>
        </is>
      </c>
      <c r="O50" s="11" t="inlineStr">
        <is>
          <t>Não</t>
        </is>
      </c>
      <c r="P50" s="11" t="n"/>
      <c r="Q50" s="11" t="inlineStr">
        <is>
          <t>Pastoral da Criança – Santa Luzia. DDD 11.</t>
        </is>
      </c>
      <c r="R50" s="11" t="inlineStr">
        <is>
          <t>p.9b</t>
        </is>
      </c>
    </row>
    <row r="51">
      <c r="A51" s="11" t="n">
        <v>51</v>
      </c>
      <c r="B51" s="11" t="inlineStr">
        <is>
          <t>51</t>
        </is>
      </c>
      <c r="C51" s="11" t="inlineStr">
        <is>
          <t>Dana Rocha Santos</t>
        </is>
      </c>
      <c r="D51" s="11" t="inlineStr">
        <is>
          <t>F</t>
        </is>
      </c>
      <c r="E51" s="12" t="n">
        <v>18944</v>
      </c>
      <c r="F51" s="11">
        <f>SE(E51&lt;&gt;"",DATADIF(E51,HOJE(),"Y"),"")</f>
        <v/>
      </c>
      <c r="G51" s="12" t="n">
        <v>45814</v>
      </c>
      <c r="H51" s="11">
        <f>SE(G51&lt;&gt;"",DATADIF(G51,HOJE(),"Y"),"")</f>
        <v/>
      </c>
      <c r="I51" s="11" t="inlineStr">
        <is>
          <t>Rua da Felicidade, 988</t>
        </is>
      </c>
      <c r="J51" s="11" t="inlineStr">
        <is>
          <t>Res. Fibra</t>
        </is>
      </c>
      <c r="K51" s="11" t="inlineStr">
        <is>
          <t>Nova Odessa</t>
        </is>
      </c>
      <c r="L51" s="11" t="inlineStr">
        <is>
          <t>(19) 99409-830?</t>
        </is>
      </c>
      <c r="M51" s="11" t="inlineStr"/>
      <c r="N51" s="11" t="inlineStr">
        <is>
          <t>Ativo</t>
        </is>
      </c>
      <c r="O51" s="11" t="inlineStr">
        <is>
          <t>Não</t>
        </is>
      </c>
      <c r="P51" s="11" t="n"/>
      <c r="Q51" s="11" t="inlineStr">
        <is>
          <t>Membro do Apostolado desde 06/06/2025.</t>
        </is>
      </c>
      <c r="R51" s="11" t="inlineStr">
        <is>
          <t>p.9b</t>
        </is>
      </c>
    </row>
    <row r="52">
      <c r="A52" s="11" t="n">
        <v>52</v>
      </c>
      <c r="B52" s="11" t="inlineStr">
        <is>
          <t>52</t>
        </is>
      </c>
      <c r="C52" s="11" t="inlineStr">
        <is>
          <t>Carlos José Amorim Nobuyasu</t>
        </is>
      </c>
      <c r="D52" s="11" t="inlineStr">
        <is>
          <t>M</t>
        </is>
      </c>
      <c r="E52" s="12" t="n">
        <v>37474</v>
      </c>
      <c r="F52" s="11">
        <f>SE(E52&lt;&gt;"",DATADIF(E52,HOJE(),"Y"),"")</f>
        <v/>
      </c>
      <c r="G52" s="12" t="n">
        <v>46162</v>
      </c>
      <c r="H52" s="11">
        <f>SE(G52&lt;&gt;"",DATADIF(G52,HOJE(),"Y"),"")</f>
        <v/>
      </c>
      <c r="I52" s="11" t="inlineStr">
        <is>
          <t>Rua Frederico Lanzoni, 181</t>
        </is>
      </c>
      <c r="J52" s="11" t="inlineStr">
        <is>
          <t>Residencial Santa Luíza II</t>
        </is>
      </c>
      <c r="K52" s="11" t="inlineStr">
        <is>
          <t>Nova Odessa</t>
        </is>
      </c>
      <c r="L52" s="11" t="inlineStr">
        <is>
          <t>(19) 98845-5763</t>
        </is>
      </c>
      <c r="M52" s="11" t="inlineStr"/>
      <c r="N52" s="11" t="inlineStr">
        <is>
          <t>Ativo</t>
        </is>
      </c>
      <c r="O52" s="11" t="inlineStr">
        <is>
          <t>Não</t>
        </is>
      </c>
      <c r="P52" s="11" t="n"/>
      <c r="Q52" s="11" t="inlineStr">
        <is>
          <t>Membro desde 20/05/2026. Provável parente de Rosangela Amorim (#48).</t>
        </is>
      </c>
      <c r="R52" s="11" t="inlineStr">
        <is>
          <t>p.10</t>
        </is>
      </c>
    </row>
    <row r="53">
      <c r="A53" s="11" t="n">
        <v>53</v>
      </c>
      <c r="B53" s="11" t="inlineStr">
        <is>
          <t>53</t>
        </is>
      </c>
      <c r="C53" s="11" t="inlineStr">
        <is>
          <t>Leila Barbosa Fonseca</t>
        </is>
      </c>
      <c r="D53" s="11" t="inlineStr">
        <is>
          <t>F</t>
        </is>
      </c>
      <c r="E53" s="12" t="n">
        <v>24144</v>
      </c>
      <c r="F53" s="11">
        <f>SE(E53&lt;&gt;"",DATADIF(E53,HOJE(),"Y"),"")</f>
        <v/>
      </c>
      <c r="G53" s="12" t="n">
        <v>46060</v>
      </c>
      <c r="H53" s="11">
        <f>SE(G53&lt;&gt;"",DATADIF(G53,HOJE(),"Y"),"")</f>
        <v/>
      </c>
      <c r="I53" s="11" t="inlineStr">
        <is>
          <t>Rua da Amizade, 19</t>
        </is>
      </c>
      <c r="J53" s="11" t="inlineStr">
        <is>
          <t>Terranova</t>
        </is>
      </c>
      <c r="K53" s="11" t="inlineStr">
        <is>
          <t>Nova Odessa</t>
        </is>
      </c>
      <c r="L53" s="11" t="inlineStr">
        <is>
          <t>(19) 99466-2608</t>
        </is>
      </c>
      <c r="M53" s="11" t="inlineStr">
        <is>
          <t>Ministra da Eucaristia – Comunidade Santa Dulce dos Pobres</t>
        </is>
      </c>
      <c r="N53" s="11" t="inlineStr">
        <is>
          <t>Ativo</t>
        </is>
      </c>
      <c r="O53" s="11" t="inlineStr">
        <is>
          <t>Não</t>
        </is>
      </c>
      <c r="P53" s="11" t="n"/>
      <c r="Q53" s="11" t="inlineStr">
        <is>
          <t>Membro do Apostolado desde 07/02/2026.</t>
        </is>
      </c>
      <c r="R53" s="11" t="inlineStr">
        <is>
          <t>p.10</t>
        </is>
      </c>
    </row>
    <row r="54">
      <c r="A54" s="11" t="n">
        <v>54</v>
      </c>
      <c r="B54" s="11" t="inlineStr">
        <is>
          <t>54</t>
        </is>
      </c>
      <c r="C54" s="11" t="inlineStr">
        <is>
          <t>Maria Neusa Pessoa Pavan</t>
        </is>
      </c>
      <c r="D54" s="11" t="inlineStr">
        <is>
          <t>F</t>
        </is>
      </c>
      <c r="E54" s="12" t="n">
        <v>24273</v>
      </c>
      <c r="F54" s="11">
        <f>SE(E54&lt;&gt;"",DATADIF(E54,HOJE(),"Y"),"")</f>
        <v/>
      </c>
      <c r="G54" s="12" t="n">
        <v>46060</v>
      </c>
      <c r="H54" s="11">
        <f>SE(G54&lt;&gt;"",DATADIF(G54,HOJE(),"Y"),"")</f>
        <v/>
      </c>
      <c r="I54" s="11" t="inlineStr">
        <is>
          <t>Rua da Alegria, 542</t>
        </is>
      </c>
      <c r="J54" s="11" t="inlineStr">
        <is>
          <t>Terranova</t>
        </is>
      </c>
      <c r="K54" s="11" t="inlineStr">
        <is>
          <t>Nova Odessa</t>
        </is>
      </c>
      <c r="L54" s="11" t="inlineStr">
        <is>
          <t>(19) 99408-5202</t>
        </is>
      </c>
      <c r="M54" s="11" t="inlineStr">
        <is>
          <t>Leiga Voluntária – Comunidade Santa Dulce dos Pobres</t>
        </is>
      </c>
      <c r="N54" s="11" t="inlineStr">
        <is>
          <t>Desistente</t>
        </is>
      </c>
      <c r="O54" s="11" t="inlineStr">
        <is>
          <t>Sim</t>
        </is>
      </c>
      <c r="P54" s="12" t="n">
        <v>46060</v>
      </c>
      <c r="Q54" s="11" t="inlineStr">
        <is>
          <t>DESISTENTE – confirmado pelo coordenador. Consagrada na entrada.</t>
        </is>
      </c>
      <c r="R54" s="11" t="inlineStr">
        <is>
          <t>p.10</t>
        </is>
      </c>
    </row>
    <row r="55">
      <c r="A55" s="11" t="n">
        <v>55</v>
      </c>
      <c r="B55" s="11" t="inlineStr">
        <is>
          <t>55</t>
        </is>
      </c>
      <c r="C55" s="11" t="inlineStr">
        <is>
          <t>Eliane Francisca dos Santos</t>
        </is>
      </c>
      <c r="D55" s="11" t="inlineStr">
        <is>
          <t>F</t>
        </is>
      </c>
      <c r="E55" s="12" t="n">
        <v>20285</v>
      </c>
      <c r="F55" s="11">
        <f>SE(E55&lt;&gt;"",DATADIF(E55,HOJE(),"Y"),"")</f>
        <v/>
      </c>
      <c r="G55" s="12" t="n">
        <v>46166</v>
      </c>
      <c r="H55" s="11">
        <f>SE(G55&lt;&gt;"",DATADIF(G55,HOJE(),"Y"),"")</f>
        <v/>
      </c>
      <c r="I55" s="11" t="inlineStr">
        <is>
          <t>Rua Joaquim Leite da Cunha, 901</t>
        </is>
      </c>
      <c r="J55" s="11" t="inlineStr">
        <is>
          <t>Santa Luíza I</t>
        </is>
      </c>
      <c r="K55" s="11" t="inlineStr">
        <is>
          <t>Nova Odessa</t>
        </is>
      </c>
      <c r="L55" s="11" t="inlineStr">
        <is>
          <t>(11) 99304-0675</t>
        </is>
      </c>
      <c r="M55" s="11" t="inlineStr">
        <is>
          <t>Ministra da Eucaristia (Pastoral dos Doentes) / Coordenadora Comunidade Santa Luzia</t>
        </is>
      </c>
      <c r="N55" s="11" t="inlineStr">
        <is>
          <t>Ativo</t>
        </is>
      </c>
      <c r="O55" s="11" t="inlineStr">
        <is>
          <t>Sim</t>
        </is>
      </c>
      <c r="P55" s="12" t="n">
        <v>46178</v>
      </c>
      <c r="Q55" s="11" t="inlineStr">
        <is>
          <t>Consagrada em 05/06/2026.</t>
        </is>
      </c>
      <c r="R55" s="11" t="inlineStr">
        <is>
          <t>p.10</t>
        </is>
      </c>
    </row>
    <row r="56">
      <c r="A56" s="11" t="n">
        <v>56</v>
      </c>
      <c r="B56" s="11" t="inlineStr">
        <is>
          <t>56</t>
        </is>
      </c>
      <c r="C56" s="11" t="inlineStr">
        <is>
          <t>Vera Lucia de Abreu Lobão</t>
        </is>
      </c>
      <c r="D56" s="11" t="inlineStr">
        <is>
          <t>F</t>
        </is>
      </c>
      <c r="E56" s="12" t="n">
        <v>28310</v>
      </c>
      <c r="F56" s="11">
        <f>SE(E56&lt;&gt;"",DATADIF(E56,HOJE(),"Y"),"")</f>
        <v/>
      </c>
      <c r="G56" s="12" t="n">
        <v>46164</v>
      </c>
      <c r="H56" s="11">
        <f>SE(G56&lt;&gt;"",DATADIF(G56,HOJE(),"Y"),"")</f>
        <v/>
      </c>
      <c r="I56" s="11" t="inlineStr">
        <is>
          <t>Rua Ângelo Piconi, 471</t>
        </is>
      </c>
      <c r="J56" s="11" t="inlineStr">
        <is>
          <t>Santa Luíza I</t>
        </is>
      </c>
      <c r="K56" s="11" t="inlineStr">
        <is>
          <t>Nova Odessa</t>
        </is>
      </c>
      <c r="L56" s="11" t="inlineStr">
        <is>
          <t>(19) 99399-4599</t>
        </is>
      </c>
      <c r="M56" s="11" t="inlineStr">
        <is>
          <t>Pastoral do Batismo – Paróquia São Jorge</t>
        </is>
      </c>
      <c r="N56" s="11" t="inlineStr">
        <is>
          <t>Ativo</t>
        </is>
      </c>
      <c r="O56" s="11" t="inlineStr">
        <is>
          <t>Sim</t>
        </is>
      </c>
      <c r="P56" s="12" t="n">
        <v>46178</v>
      </c>
      <c r="Q56" s="11" t="inlineStr">
        <is>
          <t>Consagrada em 05/06/2026. Verificar duplicidade com Irene Pedrao (C2).</t>
        </is>
      </c>
      <c r="R56" s="11" t="inlineStr">
        <is>
          <t>p.10</t>
        </is>
      </c>
    </row>
    <row r="57">
      <c r="A57" s="11" t="n">
        <v>102</v>
      </c>
      <c r="B57" s="11" t="inlineStr">
        <is>
          <t>C2</t>
        </is>
      </c>
      <c r="C57" s="11" t="inlineStr">
        <is>
          <t>Irene Rosineia de Abreu Pedrao</t>
        </is>
      </c>
      <c r="D57" s="11" t="inlineStr">
        <is>
          <t>F</t>
        </is>
      </c>
      <c r="E57" s="12" t="n">
        <v>28310</v>
      </c>
      <c r="F57" s="11">
        <f>SE(E57&lt;&gt;"",DATADIF(E57,HOJE(),"Y"),"")</f>
        <v/>
      </c>
      <c r="G57" s="11" t="n"/>
      <c r="H57" s="11">
        <f>SE(G57&lt;&gt;"",DATADIF(G57,HOJE(),"Y"),"")</f>
        <v/>
      </c>
      <c r="I57" s="11" t="inlineStr">
        <is>
          <t>Rua Ângelo Diconi, 471</t>
        </is>
      </c>
      <c r="J57" s="11" t="inlineStr">
        <is>
          <t>Santa Luíza I</t>
        </is>
      </c>
      <c r="K57" s="11" t="inlineStr">
        <is>
          <t>Nova Odessa</t>
        </is>
      </c>
      <c r="L57" s="11" t="inlineStr">
        <is>
          <t>(19) 99394-4579</t>
        </is>
      </c>
      <c r="M57" s="11" t="inlineStr">
        <is>
          <t>Pastoral do Batismo</t>
        </is>
      </c>
      <c r="N57" s="11" t="inlineStr">
        <is>
          <t>Ativo</t>
        </is>
      </c>
      <c r="O57" s="11" t="inlineStr">
        <is>
          <t>Não</t>
        </is>
      </c>
      <c r="P57" s="11" t="n"/>
      <c r="Q57" s="11" t="inlineStr">
        <is>
          <t>Ficha avulsa. Mesmo endereço e data nasc. de Vera Lucia (#56) – verificar.</t>
        </is>
      </c>
      <c r="R57" s="11" t="inlineStr">
        <is>
          <t>ficha</t>
        </is>
      </c>
    </row>
  </sheetData>
  <autoFilter ref="A1:R57"/>
  <conditionalFormatting sqref="A2:R57">
    <cfRule type="expression" priority="1" dxfId="0">
      <formula>$N2="Ativo"</formula>
    </cfRule>
    <cfRule type="expression" priority="2" dxfId="1">
      <formula>$N2="Ativo (presumido)"</formula>
    </cfRule>
    <cfRule type="expression" priority="3" dxfId="2">
      <formula>$N2="Inativo"</formula>
    </cfRule>
    <cfRule type="expression" priority="4" dxfId="3">
      <formula>$N2="Desistente"</formula>
    </cfRule>
    <cfRule type="expression" priority="5" dxfId="4">
      <formula>$N2="Falecida"</formula>
    </cfRule>
  </conditionalFormatting>
  <dataValidations count="2">
    <dataValidation sqref="N2:N57" showDropDown="0" showInputMessage="0" showErrorMessage="0" allowBlank="1" type="list">
      <formula1>"Ativo,Inativo,Ativo (presumido),Desistente,Falecida"</formula1>
    </dataValidation>
    <dataValidation sqref="O2:O57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35" customWidth="1" min="2" max="2"/>
    <col width="50" customWidth="1" min="3" max="3"/>
    <col width="20" customWidth="1" min="4" max="4"/>
    <col width="18" customWidth="1" min="5" max="5"/>
    <col width="15" customWidth="1" min="6" max="6"/>
    <col width="30" customWidth="1" min="7" max="7"/>
    <col width="12" customWidth="1" min="8" max="8"/>
    <col width="15" customWidth="1" min="9" max="9"/>
    <col width="40" customWidth="1" min="10" max="10"/>
  </cols>
  <sheetData>
    <row r="1">
      <c r="A1" s="5" t="inlineStr">
        <is>
          <t>Rota de Visitas Domiciliares – Apostolado da Oração</t>
        </is>
      </c>
    </row>
    <row r="2">
      <c r="A2" s="13" t="inlineStr">
        <is>
          <t>Rota sugerida por bairro. Marque 'S' na coluna Entregue? após cada entrega. Ore um Pai-Nosso antes de cada visita. (São Josemaría Escrivá)</t>
        </is>
      </c>
    </row>
    <row r="4">
      <c r="A4" s="14" t="inlineStr">
        <is>
          <t>Ordem</t>
        </is>
      </c>
      <c r="B4" s="14" t="inlineStr">
        <is>
          <t>Nome</t>
        </is>
      </c>
      <c r="C4" s="14" t="inlineStr">
        <is>
          <t>Endereço Completo</t>
        </is>
      </c>
      <c r="D4" s="14" t="inlineStr">
        <is>
          <t>Bairro</t>
        </is>
      </c>
      <c r="E4" s="14" t="inlineStr">
        <is>
          <t>Telefone</t>
        </is>
      </c>
      <c r="F4" s="14" t="inlineStr">
        <is>
          <t>Situação</t>
        </is>
      </c>
      <c r="G4" s="14" t="inlineStr">
        <is>
          <t>Item a Entregar</t>
        </is>
      </c>
      <c r="H4" s="14" t="inlineStr">
        <is>
          <t>Entregue?</t>
        </is>
      </c>
      <c r="I4" s="14" t="inlineStr">
        <is>
          <t>Data da Visita</t>
        </is>
      </c>
      <c r="J4" s="14" t="inlineStr">
        <is>
          <t>Observações da Visita</t>
        </is>
      </c>
    </row>
    <row r="5">
      <c r="A5" s="15" t="inlineStr">
        <is>
          <t>── BAIRRO: RESIDENCIAL SANTA LUÍZA II ──</t>
        </is>
      </c>
    </row>
    <row r="6">
      <c r="A6" t="n">
        <v>1</v>
      </c>
      <c r="B6" t="inlineStr">
        <is>
          <t>Carlos José Amorim Nobuyasu</t>
        </is>
      </c>
      <c r="C6" t="inlineStr">
        <is>
          <t>Rua Frederico Lanzoni, 181, Residencial Santa Luíza II, Nova Odessa</t>
        </is>
      </c>
      <c r="D6" t="inlineStr">
        <is>
          <t>Residencial Santa Luíza II</t>
        </is>
      </c>
      <c r="E6" t="inlineStr">
        <is>
          <t>(19) 98845-5763</t>
        </is>
      </c>
      <c r="F6" t="inlineStr">
        <is>
          <t>Ativo</t>
        </is>
      </c>
    </row>
    <row r="7">
      <c r="A7" s="15" t="inlineStr">
        <is>
          <t>── BAIRRO: SANTA LUÍZA I ──</t>
        </is>
      </c>
    </row>
    <row r="8">
      <c r="A8" t="n">
        <v>2</v>
      </c>
      <c r="B8" t="inlineStr">
        <is>
          <t>Nair Leal Damas</t>
        </is>
      </c>
      <c r="C8" t="inlineStr">
        <is>
          <t>Rua Dirceu Joc Boscori, 26, Santa Luíza I, Nova Odessa</t>
        </is>
      </c>
      <c r="D8" t="inlineStr">
        <is>
          <t>Santa Luíza I</t>
        </is>
      </c>
      <c r="E8" t="inlineStr"/>
      <c r="F8" t="inlineStr">
        <is>
          <t>Ativo</t>
        </is>
      </c>
    </row>
    <row r="9">
      <c r="A9" s="15" t="inlineStr">
        <is>
          <t>── BAIRRO: SANTA LUÍZA II ──</t>
        </is>
      </c>
    </row>
    <row r="10">
      <c r="A10" t="n">
        <v>3</v>
      </c>
      <c r="B10" t="inlineStr">
        <is>
          <t>Eneide Bernardes Grandini</t>
        </is>
      </c>
      <c r="C10" t="inlineStr">
        <is>
          <t>Rua Frederico Lanzoni, 55, Santa Luíza II, Nova Odessa</t>
        </is>
      </c>
      <c r="D10" t="inlineStr">
        <is>
          <t>Santa Luíza II</t>
        </is>
      </c>
      <c r="E10" t="inlineStr">
        <is>
          <t>(19) 3466-0924</t>
        </is>
      </c>
      <c r="F10" t="inlineStr">
        <is>
          <t>Ativo</t>
        </is>
      </c>
    </row>
    <row r="11">
      <c r="A11" s="15" t="inlineStr">
        <is>
          <t>── BAIRRO: SANTA LUÍZA I ──</t>
        </is>
      </c>
    </row>
    <row r="12">
      <c r="A12" t="n">
        <v>4</v>
      </c>
      <c r="B12" t="inlineStr">
        <is>
          <t>Valdomira Marestoni (D. Nena)</t>
        </is>
      </c>
      <c r="C12" t="inlineStr">
        <is>
          <t>Rua Antônio Dorto Sobrinho, 89, Santa Luíza I, Nova Odessa</t>
        </is>
      </c>
      <c r="D12" t="inlineStr">
        <is>
          <t>Santa Luíza I</t>
        </is>
      </c>
      <c r="E12" t="inlineStr">
        <is>
          <t>(19) 99373-1760</t>
        </is>
      </c>
      <c r="F12" t="inlineStr">
        <is>
          <t>Ativo</t>
        </is>
      </c>
    </row>
    <row r="13">
      <c r="A13" s="15" t="inlineStr">
        <is>
          <t>── BAIRRO: SANTA LUÍZA II ──</t>
        </is>
      </c>
    </row>
    <row r="14">
      <c r="A14" t="n">
        <v>5</v>
      </c>
      <c r="B14" t="inlineStr">
        <is>
          <t>Rosangela Alves Amorim de Oliveira</t>
        </is>
      </c>
      <c r="C14" t="inlineStr">
        <is>
          <t>Rua Frederico Lanzoni, 191, Santa Luíza II, Nova Odessa</t>
        </is>
      </c>
      <c r="D14" t="inlineStr">
        <is>
          <t>Santa Luíza II</t>
        </is>
      </c>
      <c r="E14" t="inlineStr"/>
      <c r="F14" t="inlineStr">
        <is>
          <t>Ativo</t>
        </is>
      </c>
    </row>
    <row r="15">
      <c r="A15" t="n">
        <v>6</v>
      </c>
      <c r="B15" t="inlineStr">
        <is>
          <t>Claudionice Batista Fernandes (Sau)</t>
        </is>
      </c>
      <c r="C15" t="inlineStr">
        <is>
          <t>Rua Maximiliano Dal Medico, 290, Santa Luíza II, Nova Odessa</t>
        </is>
      </c>
      <c r="D15" t="inlineStr">
        <is>
          <t>Santa Luíza II</t>
        </is>
      </c>
      <c r="E15" t="inlineStr">
        <is>
          <t>(19) 99528-3553</t>
        </is>
      </c>
      <c r="F15" t="inlineStr">
        <is>
          <t>Ativo</t>
        </is>
      </c>
    </row>
    <row r="16">
      <c r="A16" s="15" t="inlineStr">
        <is>
          <t>── BAIRRO: SANTA LUÍZA I ──</t>
        </is>
      </c>
    </row>
    <row r="17">
      <c r="A17" t="n">
        <v>7</v>
      </c>
      <c r="B17" t="inlineStr">
        <is>
          <t>Irene Rosineia de Abreu Pedrao</t>
        </is>
      </c>
      <c r="C17" t="inlineStr">
        <is>
          <t>Rua Ângelo Diconi, 471, Santa Luíza I, Nova Odessa</t>
        </is>
      </c>
      <c r="D17" t="inlineStr">
        <is>
          <t>Santa Luíza I</t>
        </is>
      </c>
      <c r="E17" t="inlineStr">
        <is>
          <t>(19) 99394-4579</t>
        </is>
      </c>
      <c r="F17" t="inlineStr">
        <is>
          <t>Ativo</t>
        </is>
      </c>
    </row>
    <row r="18">
      <c r="A18" t="n">
        <v>8</v>
      </c>
      <c r="B18" t="inlineStr">
        <is>
          <t>Vera Lucia de Abreu Lobão</t>
        </is>
      </c>
      <c r="C18" t="inlineStr">
        <is>
          <t>Rua Ângelo Piconi, 471, Santa Luíza I, Nova Odessa</t>
        </is>
      </c>
      <c r="D18" t="inlineStr">
        <is>
          <t>Santa Luíza I</t>
        </is>
      </c>
      <c r="E18" t="inlineStr">
        <is>
          <t>(19) 99399-4599</t>
        </is>
      </c>
      <c r="F18" t="inlineStr">
        <is>
          <t>Ativo</t>
        </is>
      </c>
    </row>
    <row r="19">
      <c r="A19" s="15" t="inlineStr">
        <is>
          <t>── BAIRRO: SANTA LUÍZA II ──</t>
        </is>
      </c>
    </row>
    <row r="20">
      <c r="A20" t="n">
        <v>9</v>
      </c>
      <c r="B20" t="inlineStr">
        <is>
          <t>Renata Cristina Rodrigues Scardovelli</t>
        </is>
      </c>
      <c r="C20" t="inlineStr">
        <is>
          <t>Rua Maximiliano Dal Medico, 774, Santa Luíza II, Nova Odessa</t>
        </is>
      </c>
      <c r="D20" t="inlineStr">
        <is>
          <t>Santa Luíza II</t>
        </is>
      </c>
      <c r="E20" t="inlineStr">
        <is>
          <t>(19) 99214-6855</t>
        </is>
      </c>
      <c r="F20" t="inlineStr">
        <is>
          <t>Ativo</t>
        </is>
      </c>
    </row>
    <row r="21">
      <c r="A21" s="15" t="inlineStr">
        <is>
          <t>── BAIRRO: SANTA LUÍZA I ──</t>
        </is>
      </c>
    </row>
    <row r="22">
      <c r="A22" t="n">
        <v>10</v>
      </c>
      <c r="B22" t="inlineStr">
        <is>
          <t>Eliane Francisca dos Santos</t>
        </is>
      </c>
      <c r="C22" t="inlineStr">
        <is>
          <t>Rua Joaquim Leite da Cunha, 901, Santa Luíza I, Nova Odessa</t>
        </is>
      </c>
      <c r="D22" t="inlineStr">
        <is>
          <t>Santa Luíza I</t>
        </is>
      </c>
      <c r="E22" t="inlineStr">
        <is>
          <t>(11) 99304-0675</t>
        </is>
      </c>
      <c r="F22" t="inlineStr">
        <is>
          <t>Ativo</t>
        </is>
      </c>
    </row>
    <row r="23">
      <c r="A23" s="15" t="inlineStr">
        <is>
          <t>── BAIRRO: SANTA LUÍZA II ──</t>
        </is>
      </c>
    </row>
    <row r="24">
      <c r="A24" t="n">
        <v>11</v>
      </c>
      <c r="B24" t="inlineStr">
        <is>
          <t>Karen</t>
        </is>
      </c>
      <c r="C24" t="inlineStr">
        <is>
          <t>Rua Maximiliano Dal Medico, s/n, Santa Luíza II, Nova Odessa</t>
        </is>
      </c>
      <c r="D24" t="inlineStr">
        <is>
          <t>Santa Luíza II</t>
        </is>
      </c>
      <c r="E24" t="inlineStr"/>
      <c r="F24" t="inlineStr">
        <is>
          <t>Ativo</t>
        </is>
      </c>
    </row>
    <row r="25">
      <c r="A25" s="15" t="inlineStr">
        <is>
          <t>── BAIRRO: N. SRA. DE FÁTIMA ──</t>
        </is>
      </c>
    </row>
    <row r="26">
      <c r="A26" t="n">
        <v>12</v>
      </c>
      <c r="B26" t="inlineStr">
        <is>
          <t>Graziela Ellen Santos</t>
        </is>
      </c>
      <c r="C26" t="inlineStr">
        <is>
          <t>Rua Jordano Milani, 142, N. Sra. de Fátima, Nova Odessa</t>
        </is>
      </c>
      <c r="D26" t="inlineStr">
        <is>
          <t>N. Sra. de Fátima</t>
        </is>
      </c>
      <c r="E26" t="inlineStr">
        <is>
          <t>(19) 98147-46??</t>
        </is>
      </c>
      <c r="F26" t="inlineStr">
        <is>
          <t>Ativo</t>
        </is>
      </c>
    </row>
    <row r="27">
      <c r="A27" t="n">
        <v>13</v>
      </c>
      <c r="B27" t="inlineStr">
        <is>
          <t>Lucas Gaveta Silva</t>
        </is>
      </c>
      <c r="C27" t="inlineStr">
        <is>
          <t>Rua Jordano Milani, 142, N. Sra. de Fátima, Nova Odessa</t>
        </is>
      </c>
      <c r="D27" t="inlineStr">
        <is>
          <t>N. Sra. de Fátima</t>
        </is>
      </c>
      <c r="E27" t="inlineStr">
        <is>
          <t>(19) 98129-1150</t>
        </is>
      </c>
      <c r="F27" t="inlineStr">
        <is>
          <t>Ativo</t>
        </is>
      </c>
    </row>
    <row r="28">
      <c r="A28" t="n">
        <v>14</v>
      </c>
      <c r="B28" t="inlineStr">
        <is>
          <t>Sair Rosante</t>
        </is>
      </c>
      <c r="C28" t="inlineStr">
        <is>
          <t>Rua Jordano Milani, 158, N. Sra. de Fátima, Nova Odessa</t>
        </is>
      </c>
      <c r="D28" t="inlineStr">
        <is>
          <t>N. Sra. de Fátima</t>
        </is>
      </c>
      <c r="E28" t="inlineStr">
        <is>
          <t>(19) 99289-5207</t>
        </is>
      </c>
      <c r="F28" t="inlineStr">
        <is>
          <t>Ativo</t>
        </is>
      </c>
    </row>
    <row r="29">
      <c r="A29" t="n">
        <v>15</v>
      </c>
      <c r="B29" t="inlineStr">
        <is>
          <t>Helena Rosante (Helena de Fátima Rosante Caetano)</t>
        </is>
      </c>
      <c r="C29" t="inlineStr">
        <is>
          <t>Rua das Crianças, 1161, N. Sra. de Fátima, Nova Odessa</t>
        </is>
      </c>
      <c r="D29" t="inlineStr">
        <is>
          <t>N. Sra. de Fátima</t>
        </is>
      </c>
      <c r="E29" t="inlineStr">
        <is>
          <t>(19) 99280-8069</t>
        </is>
      </c>
      <c r="F29" t="inlineStr">
        <is>
          <t>Ativo</t>
        </is>
      </c>
    </row>
    <row r="30">
      <c r="A30" t="n">
        <v>16</v>
      </c>
      <c r="B30" t="inlineStr">
        <is>
          <t>Devanira Vitta Lobão</t>
        </is>
      </c>
      <c r="C30" t="inlineStr">
        <is>
          <t>Rua das Crianças, 1162, N. Sra. de Fátima, Nova Odessa</t>
        </is>
      </c>
      <c r="D30" t="inlineStr">
        <is>
          <t>N. Sra. de Fátima</t>
        </is>
      </c>
      <c r="E30" t="inlineStr">
        <is>
          <t>(19) 99491-9890</t>
        </is>
      </c>
      <c r="F30" t="inlineStr">
        <is>
          <t>Ativo</t>
        </is>
      </c>
    </row>
    <row r="31">
      <c r="A31" t="n">
        <v>17</v>
      </c>
      <c r="B31" t="inlineStr">
        <is>
          <t>Jefferson Ap. Rosante Caetano</t>
        </is>
      </c>
      <c r="C31" t="inlineStr">
        <is>
          <t>Rua das Crianças, 1164, N. Sra. de Fátima, Nova Odessa</t>
        </is>
      </c>
      <c r="D31" t="inlineStr">
        <is>
          <t>N. Sra. de Fátima</t>
        </is>
      </c>
      <c r="E31" t="inlineStr">
        <is>
          <t>(19) 99898-9562</t>
        </is>
      </c>
      <c r="F31" t="inlineStr">
        <is>
          <t>Ativo</t>
        </is>
      </c>
    </row>
    <row r="32">
      <c r="A32" t="n">
        <v>18</v>
      </c>
      <c r="B32" t="inlineStr">
        <is>
          <t>Osmar Caetano</t>
        </is>
      </c>
      <c r="C32" t="inlineStr">
        <is>
          <t>Rua das Crianças, 1164, N. Sra. de Fátima, Nova Odessa</t>
        </is>
      </c>
      <c r="D32" t="inlineStr">
        <is>
          <t>N. Sra. de Fátima</t>
        </is>
      </c>
      <c r="E32" t="inlineStr"/>
      <c r="F32" t="inlineStr">
        <is>
          <t>Ativo</t>
        </is>
      </c>
    </row>
    <row r="33">
      <c r="A33" s="15" t="inlineStr">
        <is>
          <t>── BAIRRO: TRIUNFO ──</t>
        </is>
      </c>
    </row>
    <row r="34">
      <c r="A34" t="n">
        <v>19</v>
      </c>
      <c r="B34" t="inlineStr">
        <is>
          <t>Jeanete Batista da Silva</t>
        </is>
      </c>
      <c r="C34" t="inlineStr">
        <is>
          <t>Rua Antônio Pereira Freire, 08, Triunfo, Nova Odessa</t>
        </is>
      </c>
      <c r="D34" t="inlineStr">
        <is>
          <t>Triunfo</t>
        </is>
      </c>
      <c r="E34" t="inlineStr">
        <is>
          <t>(19) 98158-3742</t>
        </is>
      </c>
      <c r="F34" t="inlineStr">
        <is>
          <t>Ativo</t>
        </is>
      </c>
    </row>
    <row r="35">
      <c r="A35" t="n">
        <v>20</v>
      </c>
      <c r="B35" t="inlineStr">
        <is>
          <t>Lázaro Manoel da Silva Neto</t>
        </is>
      </c>
      <c r="C35" t="inlineStr">
        <is>
          <t>Rua Antônio Pereira Freire, 09, Triunfo, Nova Odessa</t>
        </is>
      </c>
      <c r="D35" t="inlineStr">
        <is>
          <t>Triunfo</t>
        </is>
      </c>
      <c r="E35" t="inlineStr"/>
      <c r="F35" t="inlineStr">
        <is>
          <t>Ativo</t>
        </is>
      </c>
    </row>
    <row r="36">
      <c r="A36" t="n">
        <v>21</v>
      </c>
      <c r="B36" t="inlineStr">
        <is>
          <t>Natália</t>
        </is>
      </c>
      <c r="C36" t="inlineStr">
        <is>
          <t>Rua Aristides Benedito, 11, Triunfo, Nova Odessa</t>
        </is>
      </c>
      <c r="D36" t="inlineStr">
        <is>
          <t>Triunfo</t>
        </is>
      </c>
      <c r="E36" t="inlineStr">
        <is>
          <t>(19) 99296-37??</t>
        </is>
      </c>
      <c r="F36" t="inlineStr">
        <is>
          <t>Ativo</t>
        </is>
      </c>
    </row>
    <row r="37">
      <c r="A37" t="n">
        <v>22</v>
      </c>
      <c r="B37" t="inlineStr">
        <is>
          <t>Fátima Aparecida Felix Carmossi</t>
        </is>
      </c>
      <c r="C37" t="inlineStr">
        <is>
          <t>Rua João Batista de Almeida, 16, Triunfo, Nova Odessa</t>
        </is>
      </c>
      <c r="D37" t="inlineStr">
        <is>
          <t>Triunfo</t>
        </is>
      </c>
      <c r="E37" t="inlineStr">
        <is>
          <t>(19) 99384-5059</t>
        </is>
      </c>
      <c r="F37" t="inlineStr">
        <is>
          <t>Ativo</t>
        </is>
      </c>
    </row>
    <row r="38">
      <c r="A38" t="n">
        <v>23</v>
      </c>
      <c r="B38" t="inlineStr">
        <is>
          <t>Eurípia Aparecida Rafael Frizoni</t>
        </is>
      </c>
      <c r="C38" t="inlineStr">
        <is>
          <t>Rua João Batista de Almeida, 24, Triunfo, Nova Odessa</t>
        </is>
      </c>
      <c r="D38" t="inlineStr">
        <is>
          <t>Triunfo</t>
        </is>
      </c>
      <c r="E38" t="inlineStr">
        <is>
          <t>(19) 99612-0246</t>
        </is>
      </c>
      <c r="F38" t="inlineStr">
        <is>
          <t>Ativo</t>
        </is>
      </c>
    </row>
    <row r="39">
      <c r="A39" t="n">
        <v>24</v>
      </c>
      <c r="B39" t="inlineStr">
        <is>
          <t>Simone Aparecida Frizoni</t>
        </is>
      </c>
      <c r="C39" t="inlineStr">
        <is>
          <t>Rua João Batista de Almeida, 24, Triunfo, Nova Odessa</t>
        </is>
      </c>
      <c r="D39" t="inlineStr">
        <is>
          <t>Triunfo</t>
        </is>
      </c>
      <c r="E39" t="inlineStr">
        <is>
          <t>(19) 99287-6936</t>
        </is>
      </c>
      <c r="F39" t="inlineStr">
        <is>
          <t>Ativo</t>
        </is>
      </c>
    </row>
    <row r="40">
      <c r="A40" t="n">
        <v>25</v>
      </c>
      <c r="B40" t="inlineStr">
        <is>
          <t>Luiz Ferreira de Paula</t>
        </is>
      </c>
      <c r="C40" t="inlineStr">
        <is>
          <t>Rua Professor Antônio F. Gonçalves, 31, Triunfo, Nova Odessa</t>
        </is>
      </c>
      <c r="D40" t="inlineStr">
        <is>
          <t>Triunfo</t>
        </is>
      </c>
      <c r="E40" t="inlineStr">
        <is>
          <t>(11) 98740-5105</t>
        </is>
      </c>
      <c r="F40" t="inlineStr">
        <is>
          <t>Ativo</t>
        </is>
      </c>
    </row>
    <row r="41">
      <c r="A41" t="n">
        <v>26</v>
      </c>
      <c r="B41" t="inlineStr">
        <is>
          <t>Isabel Ferreira Lopes (Izabel)</t>
        </is>
      </c>
      <c r="C41" t="inlineStr">
        <is>
          <t>Rua João Batista de Almeida, 43, Triunfo, Nova Odessa</t>
        </is>
      </c>
      <c r="D41" t="inlineStr">
        <is>
          <t>Triunfo</t>
        </is>
      </c>
      <c r="E41" t="inlineStr">
        <is>
          <t>(19) 99806-9342</t>
        </is>
      </c>
      <c r="F41" t="inlineStr">
        <is>
          <t>Ativo</t>
        </is>
      </c>
    </row>
    <row r="42">
      <c r="A42" t="n">
        <v>27</v>
      </c>
      <c r="B42" t="inlineStr">
        <is>
          <t>Iara</t>
        </is>
      </c>
      <c r="C42" t="inlineStr">
        <is>
          <t>Rua Joaquim Leite da Cunha, 1088, Triunfo, Nova Odessa</t>
        </is>
      </c>
      <c r="D42" t="inlineStr">
        <is>
          <t>Triunfo</t>
        </is>
      </c>
      <c r="E42" t="inlineStr"/>
      <c r="F42" t="inlineStr">
        <is>
          <t>Ativo</t>
        </is>
      </c>
    </row>
    <row r="43">
      <c r="A43" t="n">
        <v>28</v>
      </c>
      <c r="B43" t="inlineStr">
        <is>
          <t>Luiz Antônio</t>
        </is>
      </c>
      <c r="C43" t="inlineStr">
        <is>
          <t>Rua Joaquim Leite da Cunha, 1088, Triunfo, Nova Odessa</t>
        </is>
      </c>
      <c r="D43" t="inlineStr">
        <is>
          <t>Triunfo</t>
        </is>
      </c>
      <c r="E43" t="inlineStr">
        <is>
          <t>(19) 99478-8717</t>
        </is>
      </c>
      <c r="F43" t="inlineStr">
        <is>
          <t>Ativo</t>
        </is>
      </c>
    </row>
    <row r="44">
      <c r="A44" s="15" t="inlineStr">
        <is>
          <t>── BAIRRO: TERRANOVA ──</t>
        </is>
      </c>
    </row>
    <row r="45">
      <c r="A45" t="n">
        <v>29</v>
      </c>
      <c r="B45" t="inlineStr">
        <is>
          <t>Leila Barbosa Fonseca</t>
        </is>
      </c>
      <c r="C45" t="inlineStr">
        <is>
          <t>Rua da Amizade, 19, Terranova, Nova Odessa</t>
        </is>
      </c>
      <c r="D45" t="inlineStr">
        <is>
          <t>Terranova</t>
        </is>
      </c>
      <c r="E45" t="inlineStr">
        <is>
          <t>(19) 99466-2608</t>
        </is>
      </c>
      <c r="F45" t="inlineStr">
        <is>
          <t>Ativo</t>
        </is>
      </c>
    </row>
    <row r="46">
      <c r="A46" t="n">
        <v>30</v>
      </c>
      <c r="B46" t="inlineStr">
        <is>
          <t>Argemira dos Santos (Mirinha)</t>
        </is>
      </c>
      <c r="C46" t="inlineStr">
        <is>
          <t>Rua da Paz, 261, Terranova, Nova Odessa</t>
        </is>
      </c>
      <c r="D46" t="inlineStr">
        <is>
          <t>Terranova</t>
        </is>
      </c>
      <c r="E46" t="inlineStr">
        <is>
          <t>(19) 99186-4603</t>
        </is>
      </c>
      <c r="F46" t="inlineStr">
        <is>
          <t>Ativo</t>
        </is>
      </c>
    </row>
    <row r="47">
      <c r="A47" t="n">
        <v>31</v>
      </c>
      <c r="B47" t="inlineStr">
        <is>
          <t>Osinete Aparecida dos Santos</t>
        </is>
      </c>
      <c r="C47" t="inlineStr">
        <is>
          <t>Rua da Amizade, 282, Terranova, Nova Odessa</t>
        </is>
      </c>
      <c r="D47" t="inlineStr">
        <is>
          <t>Terranova</t>
        </is>
      </c>
      <c r="E47" t="inlineStr">
        <is>
          <t>(19) 99825-5018</t>
        </is>
      </c>
      <c r="F47" t="inlineStr">
        <is>
          <t>Ativo</t>
        </is>
      </c>
    </row>
    <row r="48">
      <c r="A48" s="15" t="inlineStr">
        <is>
          <t>── BAIRRO: JD. FIBRA ──</t>
        </is>
      </c>
    </row>
    <row r="49">
      <c r="A49" t="n">
        <v>32</v>
      </c>
      <c r="B49" t="inlineStr">
        <is>
          <t>Marlene Degan Fabro</t>
        </is>
      </c>
      <c r="C49" t="inlineStr">
        <is>
          <t>Alameda do Saber, 8, Jd. Fibra, Nova Odessa</t>
        </is>
      </c>
      <c r="D49" t="inlineStr">
        <is>
          <t>Jd. Fibra</t>
        </is>
      </c>
      <c r="E49" t="inlineStr">
        <is>
          <t>(19) 99765-890?</t>
        </is>
      </c>
      <c r="F49" t="inlineStr">
        <is>
          <t>Ativo</t>
        </is>
      </c>
    </row>
    <row r="50">
      <c r="A50" t="n">
        <v>33</v>
      </c>
      <c r="B50" t="inlineStr">
        <is>
          <t>Cacilda Batista Degan</t>
        </is>
      </c>
      <c r="C50" t="inlineStr">
        <is>
          <t>Alameda do Saber, 23, Jd. Fibra, Nova Odessa</t>
        </is>
      </c>
      <c r="D50" t="inlineStr">
        <is>
          <t>Jd. Fibra</t>
        </is>
      </c>
      <c r="E50" t="inlineStr">
        <is>
          <t>(19) 99755-????</t>
        </is>
      </c>
      <c r="F50" t="inlineStr">
        <is>
          <t>Ativo</t>
        </is>
      </c>
    </row>
    <row r="51">
      <c r="A51" s="15" t="inlineStr">
        <is>
          <t>── BAIRRO: RES. FIBRA ──</t>
        </is>
      </c>
    </row>
    <row r="52">
      <c r="A52" t="n">
        <v>34</v>
      </c>
      <c r="B52" t="inlineStr">
        <is>
          <t>Dana Rocha Santos</t>
        </is>
      </c>
      <c r="C52" t="inlineStr">
        <is>
          <t>Rua da Felicidade, 988, Res. Fibra, Nova Odessa</t>
        </is>
      </c>
      <c r="D52" t="inlineStr">
        <is>
          <t>Res. Fibra</t>
        </is>
      </c>
      <c r="E52" t="inlineStr">
        <is>
          <t>(19) 99409-830?</t>
        </is>
      </c>
      <c r="F52" t="inlineStr">
        <is>
          <t>Ativo</t>
        </is>
      </c>
    </row>
    <row r="53">
      <c r="A53" s="15" t="inlineStr">
        <is>
          <t>── BAIRRO: NOVA ODESSA ──</t>
        </is>
      </c>
    </row>
    <row r="54">
      <c r="A54" t="n">
        <v>35</v>
      </c>
      <c r="B54" t="inlineStr">
        <is>
          <t>Gleide</t>
        </is>
      </c>
      <c r="C54" t="inlineStr">
        <is>
          <t>Rua Antônio Pereira Freire, 05, Nova Odessa, Nova Odessa</t>
        </is>
      </c>
      <c r="D54" t="inlineStr">
        <is>
          <t>Nova Odessa</t>
        </is>
      </c>
      <c r="E54" t="inlineStr">
        <is>
          <t>(19) 99313-9345</t>
        </is>
      </c>
      <c r="F54" t="inlineStr">
        <is>
          <t>Ativo</t>
        </is>
      </c>
    </row>
    <row r="55">
      <c r="A55" t="n">
        <v>36</v>
      </c>
      <c r="B55" t="inlineStr">
        <is>
          <t>Aparecida Petri</t>
        </is>
      </c>
      <c r="C55" t="inlineStr">
        <is>
          <t>Rua Sebastião Cardoso, s/n, Nova Odessa, Nova Odessa</t>
        </is>
      </c>
      <c r="D55" t="inlineStr">
        <is>
          <t>Nova Odessa</t>
        </is>
      </c>
      <c r="E55" t="inlineStr">
        <is>
          <t>(19) 99389-6167</t>
        </is>
      </c>
      <c r="F55" t="inlineStr">
        <is>
          <t>Ativo</t>
        </is>
      </c>
    </row>
    <row r="56">
      <c r="A56" s="15" t="inlineStr">
        <is>
          <t>── BAIRRO: SEM BAIRRO DEFINIDO ──</t>
        </is>
      </c>
    </row>
    <row r="57">
      <c r="A57" t="n">
        <v>37</v>
      </c>
      <c r="B57" t="inlineStr">
        <is>
          <t>Ana Borges</t>
        </is>
      </c>
      <c r="C57" t="inlineStr">
        <is>
          <t>Nova Odessa</t>
        </is>
      </c>
      <c r="D57" t="inlineStr"/>
      <c r="E57" t="inlineStr"/>
      <c r="F57" t="inlineStr">
        <is>
          <t>Ativo</t>
        </is>
      </c>
    </row>
    <row r="58">
      <c r="A58" t="n">
        <v>38</v>
      </c>
      <c r="B58" t="inlineStr">
        <is>
          <t>Antônio</t>
        </is>
      </c>
      <c r="C58" t="inlineStr">
        <is>
          <t>Nova Odessa</t>
        </is>
      </c>
      <c r="D58" t="inlineStr"/>
      <c r="E58" t="inlineStr"/>
      <c r="F58" t="inlineStr">
        <is>
          <t>Ativo</t>
        </is>
      </c>
    </row>
    <row r="59">
      <c r="A59" t="n">
        <v>39</v>
      </c>
      <c r="B59" t="inlineStr">
        <is>
          <t>Célia Aparecida</t>
        </is>
      </c>
      <c r="C59" t="inlineStr">
        <is>
          <t>Nova Odessa</t>
        </is>
      </c>
      <c r="D59" t="inlineStr"/>
      <c r="E59" t="inlineStr"/>
      <c r="F59" t="inlineStr">
        <is>
          <t>Ativo</t>
        </is>
      </c>
    </row>
    <row r="60">
      <c r="A60" t="n">
        <v>40</v>
      </c>
      <c r="B60" t="inlineStr">
        <is>
          <t>Helena</t>
        </is>
      </c>
      <c r="C60" t="inlineStr">
        <is>
          <t>Nova Odessa</t>
        </is>
      </c>
      <c r="D60" t="inlineStr"/>
      <c r="E60" t="inlineStr"/>
      <c r="F60" t="inlineStr">
        <is>
          <t>Ativo</t>
        </is>
      </c>
    </row>
    <row r="61">
      <c r="A61" t="n">
        <v>41</v>
      </c>
      <c r="B61" t="inlineStr">
        <is>
          <t>Joanda</t>
        </is>
      </c>
      <c r="C61" t="inlineStr">
        <is>
          <t>Nova Odessa</t>
        </is>
      </c>
      <c r="D61" t="inlineStr"/>
      <c r="E61" t="inlineStr"/>
      <c r="F61" t="inlineStr">
        <is>
          <t>Ativo</t>
        </is>
      </c>
    </row>
    <row r="62">
      <c r="A62" t="n">
        <v>42</v>
      </c>
      <c r="B62" t="inlineStr">
        <is>
          <t>Luíza Regina</t>
        </is>
      </c>
      <c r="C62" t="inlineStr">
        <is>
          <t>Nova Odessa</t>
        </is>
      </c>
      <c r="D62" t="inlineStr"/>
      <c r="E62" t="inlineStr"/>
      <c r="F62" t="inlineStr">
        <is>
          <t>Ativo</t>
        </is>
      </c>
    </row>
    <row r="63">
      <c r="A63" t="n">
        <v>43</v>
      </c>
      <c r="B63" t="inlineStr">
        <is>
          <t>Maria José</t>
        </is>
      </c>
      <c r="C63" t="inlineStr">
        <is>
          <t>Nova Odessa</t>
        </is>
      </c>
      <c r="D63" t="inlineStr"/>
      <c r="E63" t="inlineStr"/>
      <c r="F63" t="inlineStr">
        <is>
          <t>Ativo</t>
        </is>
      </c>
    </row>
    <row r="64">
      <c r="A64" t="n">
        <v>44</v>
      </c>
      <c r="B64" t="inlineStr">
        <is>
          <t>Neuza Rafa</t>
        </is>
      </c>
      <c r="C64" t="inlineStr">
        <is>
          <t>Nova Odessa</t>
        </is>
      </c>
      <c r="D64" t="inlineStr"/>
      <c r="E64" t="inlineStr"/>
      <c r="F64" t="inlineStr">
        <is>
          <t>Ativo</t>
        </is>
      </c>
    </row>
    <row r="65">
      <c r="A65" t="n">
        <v>45</v>
      </c>
      <c r="B65" t="inlineStr">
        <is>
          <t>Odete</t>
        </is>
      </c>
      <c r="C65" t="inlineStr">
        <is>
          <t>Nova Odessa</t>
        </is>
      </c>
      <c r="D65" t="inlineStr"/>
      <c r="E65" t="inlineStr"/>
      <c r="F65" t="inlineStr">
        <is>
          <t>Ativo</t>
        </is>
      </c>
    </row>
    <row r="66">
      <c r="A66" t="n">
        <v>46</v>
      </c>
      <c r="B66" t="inlineStr">
        <is>
          <t>Pedro</t>
        </is>
      </c>
      <c r="C66" t="inlineStr">
        <is>
          <t>Nova Odessa</t>
        </is>
      </c>
      <c r="D66" t="inlineStr"/>
      <c r="E66" t="inlineStr"/>
      <c r="F66" t="inlineStr">
        <is>
          <t>Ativo</t>
        </is>
      </c>
    </row>
  </sheetData>
  <mergeCells count="18">
    <mergeCell ref="A44:J44"/>
    <mergeCell ref="A1:J1"/>
    <mergeCell ref="A5:J5"/>
    <mergeCell ref="A23:J23"/>
    <mergeCell ref="A16:J16"/>
    <mergeCell ref="A9:J9"/>
    <mergeCell ref="A56:J56"/>
    <mergeCell ref="A21:J21"/>
    <mergeCell ref="A53:J53"/>
    <mergeCell ref="A33:J33"/>
    <mergeCell ref="A7:J7"/>
    <mergeCell ref="A19:J19"/>
    <mergeCell ref="A48:J48"/>
    <mergeCell ref="A51:J51"/>
    <mergeCell ref="A2:J2"/>
    <mergeCell ref="A25:J25"/>
    <mergeCell ref="A13:J13"/>
    <mergeCell ref="A11:J11"/>
  </mergeCells>
  <dataValidations count="2">
    <dataValidation sqref="G5:G66" showDropDown="0" showInputMessage="0" showErrorMessage="0" allowBlank="1" type="list">
      <formula1>"Camisa do Apostolado,Imagem de Nossa Senhora,Imagem do Sagrado Coração de Jesus,Fita de Consagração,Folheto de Oração Mensal,Terço Bento,Livro de Orações do Apostolado,Convite para Reunião,Boletim Paroquial,Nenhum – visita de acompanhamento pastoral"</formula1>
    </dataValidation>
    <dataValidation sqref="H5:H66" showDropDown="0" showInputMessage="0" showErrorMessage="0" allowBlank="1" type="list">
      <formula1>"S,N,"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5" customWidth="1" min="2" max="2"/>
    <col width="15" customWidth="1" min="3" max="3"/>
    <col width="18" customWidth="1" min="4" max="4"/>
    <col width="15" customWidth="1" min="5" max="5"/>
    <col width="8" customWidth="1" min="6" max="6"/>
    <col width="8" customWidth="1" min="7" max="7"/>
  </cols>
  <sheetData>
    <row r="1">
      <c r="A1" s="5" t="inlineStr">
        <is>
          <t>Calendário de Aniversários</t>
        </is>
      </c>
    </row>
    <row r="2">
      <c r="A2" s="16" t="inlineStr">
        <is>
          <t>Uma ligação no dia do aniversário é apostolado de proximidade. São Josemaría: 'Uma atenção oportuna é apostolado.'</t>
        </is>
      </c>
    </row>
    <row r="4">
      <c r="A4" s="10" t="inlineStr">
        <is>
          <t>Nº</t>
        </is>
      </c>
      <c r="B4" s="10" t="inlineStr">
        <is>
          <t>Nome</t>
        </is>
      </c>
      <c r="C4" s="10" t="inlineStr">
        <is>
          <t>Data Nasc.</t>
        </is>
      </c>
      <c r="D4" s="10" t="inlineStr">
        <is>
          <t>Telefone</t>
        </is>
      </c>
      <c r="E4" s="10" t="inlineStr">
        <is>
          <t>Situação</t>
        </is>
      </c>
      <c r="F4" s="10" t="inlineStr">
        <is>
          <t>Mês</t>
        </is>
      </c>
      <c r="G4" s="10" t="inlineStr">
        <is>
          <t>Dia</t>
        </is>
      </c>
    </row>
    <row r="5">
      <c r="A5" t="inlineStr">
        <is>
          <t>16</t>
        </is>
      </c>
      <c r="B5" t="inlineStr">
        <is>
          <t>Fátima Aparecida Felix Carmossi</t>
        </is>
      </c>
      <c r="C5" s="4" t="n">
        <v>22647</v>
      </c>
      <c r="D5" t="inlineStr">
        <is>
          <t>(19) 99384-5059</t>
        </is>
      </c>
      <c r="E5" t="inlineStr">
        <is>
          <t>Ativo</t>
        </is>
      </c>
      <c r="F5">
        <f>MÊS(C5)</f>
        <v/>
      </c>
      <c r="G5">
        <f>DIA(C5)</f>
        <v/>
      </c>
    </row>
    <row r="6">
      <c r="A6" t="inlineStr">
        <is>
          <t>9</t>
        </is>
      </c>
      <c r="B6" t="inlineStr">
        <is>
          <t>Graziela Ellen Santos</t>
        </is>
      </c>
      <c r="C6" s="4" t="n">
        <v>29228</v>
      </c>
      <c r="D6" t="inlineStr">
        <is>
          <t>(19) 98147-46??</t>
        </is>
      </c>
      <c r="E6" t="inlineStr">
        <is>
          <t>Ativo</t>
        </is>
      </c>
      <c r="F6">
        <f>MÊS(C6)</f>
        <v/>
      </c>
      <c r="G6">
        <f>DIA(C6)</f>
        <v/>
      </c>
    </row>
    <row r="7">
      <c r="A7" t="inlineStr">
        <is>
          <t>3</t>
        </is>
      </c>
      <c r="B7" t="inlineStr">
        <is>
          <t>Aparecida Petri</t>
        </is>
      </c>
      <c r="C7" s="4" t="n">
        <v>20474</v>
      </c>
      <c r="D7" t="inlineStr">
        <is>
          <t>(19) 99389-6167</t>
        </is>
      </c>
      <c r="E7" t="inlineStr">
        <is>
          <t>Ativo</t>
        </is>
      </c>
      <c r="F7">
        <f>MÊS(C7)</f>
        <v/>
      </c>
      <c r="G7">
        <f>DIA(C7)</f>
        <v/>
      </c>
    </row>
    <row r="8">
      <c r="A8" t="inlineStr">
        <is>
          <t>22</t>
        </is>
      </c>
      <c r="B8" t="inlineStr">
        <is>
          <t>Renata Cristina Rodrigues Scardovelli</t>
        </is>
      </c>
      <c r="C8" s="4" t="n">
        <v>27417</v>
      </c>
      <c r="D8" t="inlineStr">
        <is>
          <t>(19) 99214-6855</t>
        </is>
      </c>
      <c r="E8" t="inlineStr">
        <is>
          <t>Ativo</t>
        </is>
      </c>
      <c r="F8">
        <f>MÊS(C8)</f>
        <v/>
      </c>
      <c r="G8">
        <f>DIA(C8)</f>
        <v/>
      </c>
    </row>
    <row r="9">
      <c r="A9" t="inlineStr">
        <is>
          <t>39</t>
        </is>
      </c>
      <c r="B9" t="inlineStr">
        <is>
          <t>Pedro</t>
        </is>
      </c>
      <c r="C9" s="4" t="n">
        <v>36559</v>
      </c>
      <c r="D9" t="inlineStr"/>
      <c r="E9" t="inlineStr">
        <is>
          <t>Ativo</t>
        </is>
      </c>
      <c r="F9">
        <f>MÊS(C9)</f>
        <v/>
      </c>
      <c r="G9">
        <f>DIA(C9)</f>
        <v/>
      </c>
    </row>
    <row r="10">
      <c r="A10" t="inlineStr">
        <is>
          <t>53</t>
        </is>
      </c>
      <c r="B10" t="inlineStr">
        <is>
          <t>Leila Barbosa Fonseca</t>
        </is>
      </c>
      <c r="C10" s="4" t="n">
        <v>24144</v>
      </c>
      <c r="D10" t="inlineStr">
        <is>
          <t>(19) 99466-2608</t>
        </is>
      </c>
      <c r="E10" t="inlineStr">
        <is>
          <t>Ativo</t>
        </is>
      </c>
      <c r="F10">
        <f>MÊS(C10)</f>
        <v/>
      </c>
      <c r="G10">
        <f>DIA(C10)</f>
        <v/>
      </c>
    </row>
    <row r="11">
      <c r="A11" t="inlineStr">
        <is>
          <t>35</t>
        </is>
      </c>
      <c r="B11" t="inlineStr">
        <is>
          <t>Neuza Rafa</t>
        </is>
      </c>
      <c r="C11" s="4" t="n">
        <v>20511</v>
      </c>
      <c r="D11" t="inlineStr"/>
      <c r="E11" t="inlineStr">
        <is>
          <t>Ativo</t>
        </is>
      </c>
      <c r="F11">
        <f>MÊS(C11)</f>
        <v/>
      </c>
      <c r="G11">
        <f>DIA(C11)</f>
        <v/>
      </c>
    </row>
    <row r="12">
      <c r="A12" t="inlineStr">
        <is>
          <t>27</t>
        </is>
      </c>
      <c r="B12" t="inlineStr">
        <is>
          <t>Luíza Regina</t>
        </is>
      </c>
      <c r="C12" s="4" t="n">
        <v>22709</v>
      </c>
      <c r="D12" t="inlineStr"/>
      <c r="E12" t="inlineStr">
        <is>
          <t>Ativo</t>
        </is>
      </c>
      <c r="F12">
        <f>MÊS(C12)</f>
        <v/>
      </c>
      <c r="G12">
        <f>DIA(C12)</f>
        <v/>
      </c>
    </row>
    <row r="13">
      <c r="A13" t="inlineStr">
        <is>
          <t>23</t>
        </is>
      </c>
      <c r="B13" t="inlineStr">
        <is>
          <t>Lázaro Manoel da Silva Neto</t>
        </is>
      </c>
      <c r="C13" s="4" t="n">
        <v>22370</v>
      </c>
      <c r="D13" t="inlineStr"/>
      <c r="E13" t="inlineStr">
        <is>
          <t>Ativo</t>
        </is>
      </c>
      <c r="F13">
        <f>MÊS(C13)</f>
        <v/>
      </c>
      <c r="G13">
        <f>DIA(C13)</f>
        <v/>
      </c>
    </row>
    <row r="14">
      <c r="A14" t="inlineStr">
        <is>
          <t>38</t>
        </is>
      </c>
      <c r="B14" t="inlineStr">
        <is>
          <t>Osmar Caetano</t>
        </is>
      </c>
      <c r="C14" s="4" t="n">
        <v>22738</v>
      </c>
      <c r="D14" t="inlineStr"/>
      <c r="E14" t="inlineStr">
        <is>
          <t>Ativo</t>
        </is>
      </c>
      <c r="F14">
        <f>MÊS(C14)</f>
        <v/>
      </c>
      <c r="G14">
        <f>DIA(C14)</f>
        <v/>
      </c>
    </row>
    <row r="15">
      <c r="A15" t="inlineStr">
        <is>
          <t>11</t>
        </is>
      </c>
      <c r="B15" t="inlineStr">
        <is>
          <t>Claudionice Batista Fernandes (Sau)</t>
        </is>
      </c>
      <c r="C15" s="4" t="n">
        <v>26397</v>
      </c>
      <c r="D15" t="inlineStr">
        <is>
          <t>(19) 99528-3553</t>
        </is>
      </c>
      <c r="E15" t="inlineStr">
        <is>
          <t>Ativo</t>
        </is>
      </c>
      <c r="F15">
        <f>MÊS(C15)</f>
        <v/>
      </c>
      <c r="G15">
        <f>DIA(C15)</f>
        <v/>
      </c>
    </row>
    <row r="16">
      <c r="A16" t="inlineStr">
        <is>
          <t>41</t>
        </is>
      </c>
      <c r="B16" t="inlineStr">
        <is>
          <t>Odete</t>
        </is>
      </c>
      <c r="C16" s="4" t="n">
        <v>17644</v>
      </c>
      <c r="D16" t="inlineStr"/>
      <c r="E16" t="inlineStr">
        <is>
          <t>Ativo</t>
        </is>
      </c>
      <c r="F16">
        <f>MÊS(C16)</f>
        <v/>
      </c>
      <c r="G16">
        <f>DIA(C16)</f>
        <v/>
      </c>
    </row>
    <row r="17">
      <c r="A17" t="inlineStr">
        <is>
          <t>46</t>
        </is>
      </c>
      <c r="B17" t="inlineStr">
        <is>
          <t>Isabel Ferreira Lopes (Izabel)</t>
        </is>
      </c>
      <c r="C17" s="4" t="n">
        <v>23132</v>
      </c>
      <c r="D17" t="inlineStr">
        <is>
          <t>(19) 99806-9342</t>
        </is>
      </c>
      <c r="E17" t="inlineStr">
        <is>
          <t>Ativo</t>
        </is>
      </c>
      <c r="F17">
        <f>MÊS(C17)</f>
        <v/>
      </c>
      <c r="G17">
        <f>DIA(C17)</f>
        <v/>
      </c>
    </row>
    <row r="18">
      <c r="A18" t="inlineStr">
        <is>
          <t>17</t>
        </is>
      </c>
      <c r="B18" t="inlineStr">
        <is>
          <t>Helena Rosante (Helena de Fátima Rosante Caetano)</t>
        </is>
      </c>
      <c r="C18" s="4" t="n">
        <v>24607</v>
      </c>
      <c r="D18" t="inlineStr">
        <is>
          <t>(19) 99280-8069</t>
        </is>
      </c>
      <c r="E18" t="inlineStr">
        <is>
          <t>Ativo</t>
        </is>
      </c>
      <c r="F18">
        <f>MÊS(C18)</f>
        <v/>
      </c>
      <c r="G18">
        <f>DIA(C18)</f>
        <v/>
      </c>
    </row>
    <row r="19">
      <c r="A19" t="inlineStr">
        <is>
          <t>42</t>
        </is>
      </c>
      <c r="B19" t="inlineStr">
        <is>
          <t>Simone Aparecida Frizoni</t>
        </is>
      </c>
      <c r="C19" s="4" t="n">
        <v>32284</v>
      </c>
      <c r="D19" t="inlineStr">
        <is>
          <t>(19) 99287-6936</t>
        </is>
      </c>
      <c r="E19" t="inlineStr">
        <is>
          <t>Ativo</t>
        </is>
      </c>
      <c r="F19">
        <f>MÊS(C19)</f>
        <v/>
      </c>
      <c r="G19">
        <f>DIA(C19)</f>
        <v/>
      </c>
    </row>
    <row r="20">
      <c r="A20" t="inlineStr">
        <is>
          <t>48</t>
        </is>
      </c>
      <c r="B20" t="inlineStr">
        <is>
          <t>Rosangela Alves Amorim de Oliveira</t>
        </is>
      </c>
      <c r="C20" s="4" t="n">
        <v>26818</v>
      </c>
      <c r="D20" t="inlineStr"/>
      <c r="E20" t="inlineStr">
        <is>
          <t>Ativo</t>
        </is>
      </c>
      <c r="F20">
        <f>MÊS(C20)</f>
        <v/>
      </c>
      <c r="G20">
        <f>DIA(C20)</f>
        <v/>
      </c>
    </row>
    <row r="21">
      <c r="A21" t="inlineStr">
        <is>
          <t>54</t>
        </is>
      </c>
      <c r="B21" t="inlineStr">
        <is>
          <t>Maria Neusa Pessoa Pavan</t>
        </is>
      </c>
      <c r="C21" s="4" t="n">
        <v>24273</v>
      </c>
      <c r="D21" t="inlineStr">
        <is>
          <t>(19) 99408-5202</t>
        </is>
      </c>
      <c r="E21" t="inlineStr">
        <is>
          <t>Desistente</t>
        </is>
      </c>
      <c r="F21">
        <f>MÊS(C21)</f>
        <v/>
      </c>
      <c r="G21">
        <f>DIA(C21)</f>
        <v/>
      </c>
    </row>
    <row r="22">
      <c r="A22" t="inlineStr">
        <is>
          <t>14</t>
        </is>
      </c>
      <c r="B22" t="inlineStr">
        <is>
          <t>Eneide Bernardes Grandini</t>
        </is>
      </c>
      <c r="C22" s="4" t="n">
        <v>13329</v>
      </c>
      <c r="D22" t="inlineStr">
        <is>
          <t>(19) 3466-0924</t>
        </is>
      </c>
      <c r="E22" t="inlineStr">
        <is>
          <t>Ativo</t>
        </is>
      </c>
      <c r="F22">
        <f>MÊS(C22)</f>
        <v/>
      </c>
      <c r="G22">
        <f>DIA(C22)</f>
        <v/>
      </c>
    </row>
    <row r="23">
      <c r="A23" t="inlineStr">
        <is>
          <t>8</t>
        </is>
      </c>
      <c r="B23" t="inlineStr">
        <is>
          <t>Célia Aparecida</t>
        </is>
      </c>
      <c r="C23" s="4" t="n">
        <v>26113</v>
      </c>
      <c r="D23" t="inlineStr"/>
      <c r="E23" t="inlineStr">
        <is>
          <t>Ativo</t>
        </is>
      </c>
      <c r="F23">
        <f>MÊS(C23)</f>
        <v/>
      </c>
      <c r="G23">
        <f>DIA(C23)</f>
        <v/>
      </c>
    </row>
    <row r="24">
      <c r="A24" t="inlineStr">
        <is>
          <t>15</t>
        </is>
      </c>
      <c r="B24" t="inlineStr">
        <is>
          <t>Ione Michelan da Silva</t>
        </is>
      </c>
      <c r="C24" s="4" t="n">
        <v>23922</v>
      </c>
      <c r="D24" t="inlineStr">
        <is>
          <t>(19) 99320-4021</t>
        </is>
      </c>
      <c r="E24" t="inlineStr">
        <is>
          <t>Inativo</t>
        </is>
      </c>
      <c r="F24">
        <f>MÊS(C24)</f>
        <v/>
      </c>
      <c r="G24">
        <f>DIA(C24)</f>
        <v/>
      </c>
    </row>
    <row r="25">
      <c r="A25" t="inlineStr">
        <is>
          <t>56</t>
        </is>
      </c>
      <c r="B25" t="inlineStr">
        <is>
          <t>Vera Lucia de Abreu Lobão</t>
        </is>
      </c>
      <c r="C25" s="4" t="n">
        <v>28310</v>
      </c>
      <c r="D25" t="inlineStr">
        <is>
          <t>(19) 99399-4599</t>
        </is>
      </c>
      <c r="E25" t="inlineStr">
        <is>
          <t>Ativo</t>
        </is>
      </c>
      <c r="F25">
        <f>MÊS(C25)</f>
        <v/>
      </c>
      <c r="G25">
        <f>DIA(C25)</f>
        <v/>
      </c>
    </row>
    <row r="26">
      <c r="A26" t="inlineStr">
        <is>
          <t>C2</t>
        </is>
      </c>
      <c r="B26" t="inlineStr">
        <is>
          <t>Irene Rosineia de Abreu Pedrao</t>
        </is>
      </c>
      <c r="C26" s="4" t="n">
        <v>28310</v>
      </c>
      <c r="D26" t="inlineStr">
        <is>
          <t>(19) 99394-4579</t>
        </is>
      </c>
      <c r="E26" t="inlineStr">
        <is>
          <t>Ativo</t>
        </is>
      </c>
      <c r="F26">
        <f>MÊS(C26)</f>
        <v/>
      </c>
      <c r="G26">
        <f>DIA(C26)</f>
        <v/>
      </c>
    </row>
    <row r="27">
      <c r="A27" t="inlineStr">
        <is>
          <t>34</t>
        </is>
      </c>
      <c r="B27" t="inlineStr">
        <is>
          <t>Nair Leal Damas</t>
        </is>
      </c>
      <c r="C27" s="4" t="n">
        <v>14437</v>
      </c>
      <c r="D27" t="inlineStr"/>
      <c r="E27" t="inlineStr">
        <is>
          <t>Ativo</t>
        </is>
      </c>
      <c r="F27">
        <f>MÊS(C27)</f>
        <v/>
      </c>
      <c r="G27">
        <f>DIA(C27)</f>
        <v/>
      </c>
    </row>
    <row r="28">
      <c r="A28" t="inlineStr">
        <is>
          <t>55</t>
        </is>
      </c>
      <c r="B28" t="inlineStr">
        <is>
          <t>Eliane Francisca dos Santos</t>
        </is>
      </c>
      <c r="C28" s="4" t="n">
        <v>20285</v>
      </c>
      <c r="D28" t="inlineStr">
        <is>
          <t>(11) 99304-0675</t>
        </is>
      </c>
      <c r="E28" t="inlineStr">
        <is>
          <t>Ativo</t>
        </is>
      </c>
      <c r="F28">
        <f>MÊS(C28)</f>
        <v/>
      </c>
      <c r="G28">
        <f>DIA(C28)</f>
        <v/>
      </c>
    </row>
    <row r="29">
      <c r="A29" t="inlineStr">
        <is>
          <t>4</t>
        </is>
      </c>
      <c r="B29" t="inlineStr">
        <is>
          <t>Argemira dos Santos (Mirinha)</t>
        </is>
      </c>
      <c r="C29" s="4" t="n">
        <v>18837</v>
      </c>
      <c r="D29" t="inlineStr">
        <is>
          <t>(19) 99186-4603</t>
        </is>
      </c>
      <c r="E29" t="inlineStr">
        <is>
          <t>Ativo</t>
        </is>
      </c>
      <c r="F29">
        <f>MÊS(C29)</f>
        <v/>
      </c>
      <c r="G29">
        <f>DIA(C29)</f>
        <v/>
      </c>
    </row>
    <row r="30">
      <c r="A30" t="inlineStr">
        <is>
          <t>52</t>
        </is>
      </c>
      <c r="B30" t="inlineStr">
        <is>
          <t>Carlos José Amorim Nobuyasu</t>
        </is>
      </c>
      <c r="C30" s="4" t="n">
        <v>37474</v>
      </c>
      <c r="D30" t="inlineStr">
        <is>
          <t>(19) 98845-5763</t>
        </is>
      </c>
      <c r="E30" t="inlineStr">
        <is>
          <t>Ativo</t>
        </is>
      </c>
      <c r="F30">
        <f>MÊS(C30)</f>
        <v/>
      </c>
      <c r="G30">
        <f>DIA(C30)</f>
        <v/>
      </c>
    </row>
    <row r="31">
      <c r="A31" t="inlineStr">
        <is>
          <t>6</t>
        </is>
      </c>
      <c r="B31" t="inlineStr">
        <is>
          <t>Cacilda Batista Degan</t>
        </is>
      </c>
      <c r="C31" s="4" t="n">
        <v>14469</v>
      </c>
      <c r="D31" t="inlineStr">
        <is>
          <t>(19) 99755-????</t>
        </is>
      </c>
      <c r="E31" t="inlineStr">
        <is>
          <t>Ativo</t>
        </is>
      </c>
      <c r="F31">
        <f>MÊS(C31)</f>
        <v/>
      </c>
      <c r="G31">
        <f>DIA(C31)</f>
        <v/>
      </c>
    </row>
    <row r="32">
      <c r="A32" t="inlineStr">
        <is>
          <t>19</t>
        </is>
      </c>
      <c r="B32" t="inlineStr">
        <is>
          <t>Jefferson Ap. Rosante Caetano</t>
        </is>
      </c>
      <c r="C32" s="4" t="n">
        <v>37124</v>
      </c>
      <c r="D32" t="inlineStr">
        <is>
          <t>(19) 99898-9562</t>
        </is>
      </c>
      <c r="E32" t="inlineStr">
        <is>
          <t>Ativo</t>
        </is>
      </c>
      <c r="F32">
        <f>MÊS(C32)</f>
        <v/>
      </c>
      <c r="G32">
        <f>DIA(C32)</f>
        <v/>
      </c>
    </row>
    <row r="33">
      <c r="A33" t="inlineStr">
        <is>
          <t>43</t>
        </is>
      </c>
      <c r="B33" t="inlineStr">
        <is>
          <t>Eurípia Aparecida Rafael Frizoni</t>
        </is>
      </c>
      <c r="C33" s="4" t="n">
        <v>19228</v>
      </c>
      <c r="D33" t="inlineStr">
        <is>
          <t>(19) 99612-0246</t>
        </is>
      </c>
      <c r="E33" t="inlineStr">
        <is>
          <t>Ativo</t>
        </is>
      </c>
      <c r="F33">
        <f>MÊS(C33)</f>
        <v/>
      </c>
      <c r="G33">
        <f>DIA(C33)</f>
        <v/>
      </c>
    </row>
    <row r="34">
      <c r="A34" t="inlineStr">
        <is>
          <t>40</t>
        </is>
      </c>
      <c r="B34" t="inlineStr">
        <is>
          <t>Osinete Aparecida dos Santos</t>
        </is>
      </c>
      <c r="C34" s="4" t="n">
        <v>28725</v>
      </c>
      <c r="D34" t="inlineStr">
        <is>
          <t>(19) 99825-5018</t>
        </is>
      </c>
      <c r="E34" t="inlineStr">
        <is>
          <t>Ativo</t>
        </is>
      </c>
      <c r="F34">
        <f>MÊS(C34)</f>
        <v/>
      </c>
      <c r="G34">
        <f>DIA(C34)</f>
        <v/>
      </c>
    </row>
    <row r="35">
      <c r="A35" t="inlineStr">
        <is>
          <t>10</t>
        </is>
      </c>
      <c r="B35" t="inlineStr">
        <is>
          <t>Lucas Gaveta Silva</t>
        </is>
      </c>
      <c r="C35" s="4" t="n">
        <v>30925</v>
      </c>
      <c r="D35" t="inlineStr">
        <is>
          <t>(19) 98129-1150</t>
        </is>
      </c>
      <c r="E35" t="inlineStr">
        <is>
          <t>Ativo</t>
        </is>
      </c>
      <c r="F35">
        <f>MÊS(C35)</f>
        <v/>
      </c>
      <c r="G35">
        <f>DIA(C35)</f>
        <v/>
      </c>
    </row>
    <row r="36">
      <c r="A36" t="inlineStr">
        <is>
          <t>21</t>
        </is>
      </c>
      <c r="B36" t="inlineStr">
        <is>
          <t>Karen</t>
        </is>
      </c>
      <c r="C36" s="4" t="n">
        <v>38237</v>
      </c>
      <c r="D36" t="inlineStr"/>
      <c r="E36" t="inlineStr">
        <is>
          <t>Ativo</t>
        </is>
      </c>
      <c r="F36">
        <f>MÊS(C36)</f>
        <v/>
      </c>
      <c r="G36">
        <f>DIA(C36)</f>
        <v/>
      </c>
    </row>
    <row r="37">
      <c r="A37" t="inlineStr">
        <is>
          <t>44</t>
        </is>
      </c>
      <c r="B37" t="inlineStr">
        <is>
          <t>Valdomira Marestoni (D. Nena)</t>
        </is>
      </c>
      <c r="C37" s="4" t="n">
        <v>16694</v>
      </c>
      <c r="D37" t="inlineStr">
        <is>
          <t>(19) 99373-1760</t>
        </is>
      </c>
      <c r="E37" t="inlineStr">
        <is>
          <t>Ativo</t>
        </is>
      </c>
      <c r="F37">
        <f>MÊS(C37)</f>
        <v/>
      </c>
      <c r="G37">
        <f>DIA(C37)</f>
        <v/>
      </c>
    </row>
    <row r="38">
      <c r="A38" t="inlineStr">
        <is>
          <t>24</t>
        </is>
      </c>
      <c r="B38" t="inlineStr">
        <is>
          <t>Luiz Antônio</t>
        </is>
      </c>
      <c r="C38" s="4" t="n">
        <v>23281</v>
      </c>
      <c r="D38" t="inlineStr">
        <is>
          <t>(19) 99478-8717</t>
        </is>
      </c>
      <c r="E38" t="inlineStr">
        <is>
          <t>Ativo</t>
        </is>
      </c>
      <c r="F38">
        <f>MÊS(C38)</f>
        <v/>
      </c>
      <c r="G38">
        <f>DIA(C38)</f>
        <v/>
      </c>
    </row>
    <row r="39">
      <c r="A39" t="inlineStr">
        <is>
          <t>2</t>
        </is>
      </c>
      <c r="B39" t="inlineStr">
        <is>
          <t>Ana Borges</t>
        </is>
      </c>
      <c r="C39" s="4" t="n">
        <v>15613</v>
      </c>
      <c r="D39" t="inlineStr"/>
      <c r="E39" t="inlineStr">
        <is>
          <t>Ativo</t>
        </is>
      </c>
      <c r="F39">
        <f>MÊS(C39)</f>
        <v/>
      </c>
      <c r="G39">
        <f>DIA(C39)</f>
        <v/>
      </c>
    </row>
    <row r="40">
      <c r="A40" t="inlineStr">
        <is>
          <t>13</t>
        </is>
      </c>
      <c r="B40" t="inlineStr">
        <is>
          <t>Devanira Vitta Lobão</t>
        </is>
      </c>
      <c r="C40" s="4" t="n">
        <v>17458</v>
      </c>
      <c r="D40" t="inlineStr">
        <is>
          <t>(19) 99491-9890</t>
        </is>
      </c>
      <c r="E40" t="inlineStr">
        <is>
          <t>Ativo</t>
        </is>
      </c>
      <c r="F40">
        <f>MÊS(C40)</f>
        <v/>
      </c>
      <c r="G40">
        <f>DIA(C40)</f>
        <v/>
      </c>
    </row>
    <row r="41">
      <c r="A41" t="inlineStr">
        <is>
          <t>49</t>
        </is>
      </c>
      <c r="B41" t="inlineStr">
        <is>
          <t>Marlene Degan Fabro</t>
        </is>
      </c>
      <c r="C41" s="4" t="n">
        <v>21480</v>
      </c>
      <c r="D41" t="inlineStr">
        <is>
          <t>(19) 99765-890?</t>
        </is>
      </c>
      <c r="E41" t="inlineStr">
        <is>
          <t>Ativo</t>
        </is>
      </c>
      <c r="F41">
        <f>MÊS(C41)</f>
        <v/>
      </c>
      <c r="G41">
        <f>DIA(C41)</f>
        <v/>
      </c>
    </row>
    <row r="42">
      <c r="A42" t="inlineStr">
        <is>
          <t>51</t>
        </is>
      </c>
      <c r="B42" t="inlineStr">
        <is>
          <t>Dana Rocha Santos</t>
        </is>
      </c>
      <c r="C42" s="4" t="n">
        <v>18944</v>
      </c>
      <c r="D42" t="inlineStr">
        <is>
          <t>(19) 99409-830?</t>
        </is>
      </c>
      <c r="E42" t="inlineStr">
        <is>
          <t>Ativo</t>
        </is>
      </c>
      <c r="F42">
        <f>MÊS(C42)</f>
        <v/>
      </c>
      <c r="G42">
        <f>DIA(C42)</f>
        <v/>
      </c>
    </row>
    <row r="43">
      <c r="A43" t="inlineStr">
        <is>
          <t>12</t>
        </is>
      </c>
      <c r="B43" t="inlineStr">
        <is>
          <t>Gleide</t>
        </is>
      </c>
      <c r="C43" s="4" t="n">
        <v>19316</v>
      </c>
      <c r="D43" t="inlineStr">
        <is>
          <t>(19) 99313-9345</t>
        </is>
      </c>
      <c r="E43" t="inlineStr">
        <is>
          <t>Ativo</t>
        </is>
      </c>
      <c r="F43">
        <f>MÊS(C43)</f>
        <v/>
      </c>
      <c r="G43">
        <f>DIA(C43)</f>
        <v/>
      </c>
    </row>
    <row r="44">
      <c r="A44" t="inlineStr">
        <is>
          <t>5</t>
        </is>
      </c>
      <c r="B44" t="inlineStr">
        <is>
          <t>Antônio</t>
        </is>
      </c>
      <c r="C44" s="4" t="n">
        <v>16398</v>
      </c>
      <c r="D44" t="inlineStr"/>
      <c r="E44" t="inlineStr">
        <is>
          <t>Ativo</t>
        </is>
      </c>
      <c r="F44">
        <f>MÊS(C44)</f>
        <v/>
      </c>
      <c r="G44">
        <f>DIA(C44)</f>
        <v/>
      </c>
    </row>
    <row r="45">
      <c r="A45" t="inlineStr">
        <is>
          <t>1</t>
        </is>
      </c>
      <c r="B45" t="inlineStr">
        <is>
          <t>Alice Euzébio Pereira</t>
        </is>
      </c>
      <c r="C45" s="4" t="n">
        <v>21514</v>
      </c>
      <c r="D45" t="inlineStr">
        <is>
          <t>(19) 99131-5952</t>
        </is>
      </c>
      <c r="E45" t="inlineStr">
        <is>
          <t>Inativo</t>
        </is>
      </c>
      <c r="F45">
        <f>MÊS(C45)</f>
        <v/>
      </c>
      <c r="G45">
        <f>DIA(C45)</f>
        <v/>
      </c>
    </row>
    <row r="46">
      <c r="A46" t="inlineStr">
        <is>
          <t>47</t>
        </is>
      </c>
      <c r="B46" t="inlineStr">
        <is>
          <t>Joanda</t>
        </is>
      </c>
      <c r="C46" s="4" t="n">
        <v>17502</v>
      </c>
      <c r="D46" t="inlineStr"/>
      <c r="E46" t="inlineStr">
        <is>
          <t>Ativo</t>
        </is>
      </c>
      <c r="F46">
        <f>MÊS(C46)</f>
        <v/>
      </c>
      <c r="G46">
        <f>DIA(C46)</f>
        <v/>
      </c>
    </row>
    <row r="47">
      <c r="A47" t="inlineStr">
        <is>
          <t>45</t>
        </is>
      </c>
      <c r="B47" t="inlineStr">
        <is>
          <t>Helena</t>
        </is>
      </c>
      <c r="C47" s="4" t="n">
        <v>16044</v>
      </c>
      <c r="D47" t="inlineStr"/>
      <c r="E47" t="inlineStr">
        <is>
          <t>Ativo</t>
        </is>
      </c>
      <c r="F47">
        <f>MÊS(C47)</f>
        <v/>
      </c>
      <c r="G47">
        <f>DIA(C47)</f>
        <v/>
      </c>
    </row>
    <row r="48">
      <c r="A48" t="inlineStr">
        <is>
          <t>20</t>
        </is>
      </c>
      <c r="B48" t="inlineStr">
        <is>
          <t>Jeanete Batista da Silva</t>
        </is>
      </c>
      <c r="C48" s="4" t="n">
        <v>23732</v>
      </c>
      <c r="D48" t="inlineStr">
        <is>
          <t>(19) 98158-3742</t>
        </is>
      </c>
      <c r="E48" t="inlineStr">
        <is>
          <t>Ativo</t>
        </is>
      </c>
      <c r="F48">
        <f>MÊS(C48)</f>
        <v/>
      </c>
      <c r="G48">
        <f>DIA(C48)</f>
        <v/>
      </c>
    </row>
    <row r="49">
      <c r="A49" t="inlineStr">
        <is>
          <t>36</t>
        </is>
      </c>
      <c r="B49" t="inlineStr">
        <is>
          <t>Natália</t>
        </is>
      </c>
      <c r="C49" s="4" t="n">
        <v>18257</v>
      </c>
      <c r="D49" t="inlineStr">
        <is>
          <t>(19) 99296-37??</t>
        </is>
      </c>
      <c r="E49" t="inlineStr">
        <is>
          <t>Ativo</t>
        </is>
      </c>
      <c r="F49">
        <f>MÊS(C49)</f>
        <v/>
      </c>
      <c r="G49">
        <f>DIA(C49)</f>
        <v/>
      </c>
    </row>
  </sheetData>
  <mergeCells count="2">
    <mergeCell ref="A2:G2"/>
    <mergeCell ref="A1:G1"/>
  </mergeCells>
  <conditionalFormatting sqref="A5:G49">
    <cfRule type="expression" priority="1" dxfId="5">
      <formula>MÊS($C5)=MÊS(HOJE())</formula>
    </cfRule>
    <cfRule type="expression" priority="2" dxfId="6">
      <formula>EABS(DATA(ANO(HOJE()),MÊS($C5),DIA($C5))-HOJE())&lt;=7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6" customWidth="1" min="2" max="2"/>
    <col width="35" customWidth="1" min="3" max="3"/>
    <col width="15" customWidth="1" min="4" max="4"/>
    <col width="15" customWidth="1" min="5" max="5"/>
    <col width="20" customWidth="1" min="6" max="6"/>
    <col width="18" customWidth="1" min="7" max="7"/>
    <col width="40" customWidth="1" min="8" max="8"/>
  </cols>
  <sheetData>
    <row r="1">
      <c r="A1" s="5" t="inlineStr">
        <is>
          <t>Membros Consagrados ao Sagrado Coração de Jesus</t>
        </is>
      </c>
    </row>
    <row r="3">
      <c r="A3" s="10" t="inlineStr">
        <is>
          <t>ID</t>
        </is>
      </c>
      <c r="B3" s="10" t="inlineStr">
        <is>
          <t>Nº</t>
        </is>
      </c>
      <c r="C3" s="10" t="inlineStr">
        <is>
          <t>Nome</t>
        </is>
      </c>
      <c r="D3" s="10" t="inlineStr">
        <is>
          <t>Data Consagração</t>
        </is>
      </c>
      <c r="E3" s="10" t="inlineStr">
        <is>
          <t>Data Ingresso</t>
        </is>
      </c>
      <c r="F3" s="10" t="inlineStr">
        <is>
          <t>Bairro</t>
        </is>
      </c>
      <c r="G3" s="10" t="inlineStr">
        <is>
          <t>Telefone</t>
        </is>
      </c>
      <c r="H3" s="10" t="inlineStr">
        <is>
          <t>Função</t>
        </is>
      </c>
    </row>
    <row r="4">
      <c r="A4" t="n">
        <v>54</v>
      </c>
      <c r="B4" t="inlineStr">
        <is>
          <t>54</t>
        </is>
      </c>
      <c r="C4" t="inlineStr">
        <is>
          <t>Maria Neusa Pessoa Pavan</t>
        </is>
      </c>
      <c r="D4" s="4" t="n">
        <v>46060</v>
      </c>
      <c r="E4" s="4" t="n">
        <v>46060</v>
      </c>
      <c r="F4" t="inlineStr">
        <is>
          <t>Terranova</t>
        </is>
      </c>
      <c r="G4" t="inlineStr">
        <is>
          <t>(19) 99408-5202</t>
        </is>
      </c>
      <c r="H4" t="inlineStr">
        <is>
          <t>Leiga Voluntária – Comunidade Santa Dulce dos Pobres</t>
        </is>
      </c>
    </row>
    <row r="5">
      <c r="A5" t="n">
        <v>55</v>
      </c>
      <c r="B5" t="inlineStr">
        <is>
          <t>55</t>
        </is>
      </c>
      <c r="C5" t="inlineStr">
        <is>
          <t>Eliane Francisca dos Santos</t>
        </is>
      </c>
      <c r="D5" s="4" t="n">
        <v>46166</v>
      </c>
      <c r="E5" s="4" t="n">
        <v>46166</v>
      </c>
      <c r="F5" t="inlineStr">
        <is>
          <t>Santa Luíza I</t>
        </is>
      </c>
      <c r="G5" t="inlineStr">
        <is>
          <t>(11) 99304-0675</t>
        </is>
      </c>
      <c r="H5" t="inlineStr">
        <is>
          <t>Ministra da Eucaristia (Pastoral dos Doentes) / Coordenadora Comunidade Santa Luzia</t>
        </is>
      </c>
    </row>
    <row r="6">
      <c r="A6" t="n">
        <v>56</v>
      </c>
      <c r="B6" t="inlineStr">
        <is>
          <t>56</t>
        </is>
      </c>
      <c r="C6" t="inlineStr">
        <is>
          <t>Vera Lucia de Abreu Lobão</t>
        </is>
      </c>
      <c r="D6" s="4" t="n">
        <v>46164</v>
      </c>
      <c r="E6" s="4" t="n">
        <v>46164</v>
      </c>
      <c r="F6" t="inlineStr">
        <is>
          <t>Santa Luíza I</t>
        </is>
      </c>
      <c r="G6" t="inlineStr">
        <is>
          <t>(19) 99399-4599</t>
        </is>
      </c>
      <c r="H6" t="inlineStr">
        <is>
          <t>Pastoral do Batismo – Paróquia São Jorge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5" customWidth="1" min="2" max="2"/>
    <col width="35" customWidth="1" min="3" max="3"/>
    <col width="15" customWidth="1" min="4" max="4"/>
    <col width="20" customWidth="1" min="5" max="5"/>
    <col width="40" customWidth="1" min="6" max="6"/>
  </cols>
  <sheetData>
    <row r="1">
      <c r="A1" s="5" t="inlineStr">
        <is>
          <t>Controle de Itens Entregues aos Membros</t>
        </is>
      </c>
    </row>
    <row r="2">
      <c r="A2" s="16" t="inlineStr">
        <is>
          <t>Registre cada entrega. Use a lista na coluna Item.</t>
        </is>
      </c>
    </row>
    <row r="4">
      <c r="A4" s="10" t="inlineStr">
        <is>
          <t>ID Membro</t>
        </is>
      </c>
      <c r="B4" s="10" t="inlineStr">
        <is>
          <t>Nome</t>
        </is>
      </c>
      <c r="C4" s="10" t="inlineStr">
        <is>
          <t>Item</t>
        </is>
      </c>
      <c r="D4" s="10" t="inlineStr">
        <is>
          <t>Data Entrega</t>
        </is>
      </c>
      <c r="E4" s="10" t="inlineStr">
        <is>
          <t>Entregue por</t>
        </is>
      </c>
      <c r="F4" s="10" t="inlineStr">
        <is>
          <t>Observação</t>
        </is>
      </c>
    </row>
    <row r="5">
      <c r="A5" s="17" t="n"/>
      <c r="B5" s="17" t="n"/>
      <c r="C5" s="17" t="n"/>
      <c r="D5" s="17" t="n"/>
      <c r="E5" s="17" t="n"/>
      <c r="F5" s="17" t="n"/>
    </row>
    <row r="6">
      <c r="A6" s="17" t="n"/>
      <c r="B6" s="17" t="n"/>
      <c r="C6" s="17" t="n"/>
      <c r="D6" s="17" t="n"/>
      <c r="E6" s="17" t="n"/>
      <c r="F6" s="17" t="n"/>
    </row>
    <row r="7">
      <c r="A7" s="17" t="n"/>
      <c r="B7" s="17" t="n"/>
      <c r="C7" s="17" t="n"/>
      <c r="D7" s="17" t="n"/>
      <c r="E7" s="17" t="n"/>
      <c r="F7" s="17" t="n"/>
    </row>
    <row r="8">
      <c r="A8" s="17" t="n"/>
      <c r="B8" s="17" t="n"/>
      <c r="C8" s="17" t="n"/>
      <c r="D8" s="17" t="n"/>
      <c r="E8" s="17" t="n"/>
      <c r="F8" s="17" t="n"/>
    </row>
    <row r="9">
      <c r="A9" s="17" t="n"/>
      <c r="B9" s="17" t="n"/>
      <c r="C9" s="17" t="n"/>
      <c r="D9" s="17" t="n"/>
      <c r="E9" s="17" t="n"/>
      <c r="F9" s="17" t="n"/>
    </row>
    <row r="10">
      <c r="A10" s="17" t="n"/>
      <c r="B10" s="17" t="n"/>
      <c r="C10" s="17" t="n"/>
      <c r="D10" s="17" t="n"/>
      <c r="E10" s="17" t="n"/>
      <c r="F10" s="17" t="n"/>
    </row>
    <row r="11">
      <c r="A11" s="17" t="n"/>
      <c r="B11" s="17" t="n"/>
      <c r="C11" s="17" t="n"/>
      <c r="D11" s="17" t="n"/>
      <c r="E11" s="17" t="n"/>
      <c r="F11" s="17" t="n"/>
    </row>
    <row r="12">
      <c r="A12" s="17" t="n"/>
      <c r="B12" s="17" t="n"/>
      <c r="C12" s="17" t="n"/>
      <c r="D12" s="17" t="n"/>
      <c r="E12" s="17" t="n"/>
      <c r="F12" s="17" t="n"/>
    </row>
    <row r="13">
      <c r="A13" s="17" t="n"/>
      <c r="B13" s="17" t="n"/>
      <c r="C13" s="17" t="n"/>
      <c r="D13" s="17" t="n"/>
      <c r="E13" s="17" t="n"/>
      <c r="F13" s="17" t="n"/>
    </row>
    <row r="14">
      <c r="A14" s="17" t="n"/>
      <c r="B14" s="17" t="n"/>
      <c r="C14" s="17" t="n"/>
      <c r="D14" s="17" t="n"/>
      <c r="E14" s="17" t="n"/>
      <c r="F14" s="17" t="n"/>
    </row>
    <row r="15">
      <c r="A15" s="17" t="n"/>
      <c r="B15" s="17" t="n"/>
      <c r="C15" s="17" t="n"/>
      <c r="D15" s="17" t="n"/>
      <c r="E15" s="17" t="n"/>
      <c r="F15" s="17" t="n"/>
    </row>
    <row r="16">
      <c r="A16" s="17" t="n"/>
      <c r="B16" s="17" t="n"/>
      <c r="C16" s="17" t="n"/>
      <c r="D16" s="17" t="n"/>
      <c r="E16" s="17" t="n"/>
      <c r="F16" s="17" t="n"/>
    </row>
    <row r="17">
      <c r="A17" s="17" t="n"/>
      <c r="B17" s="17" t="n"/>
      <c r="C17" s="17" t="n"/>
      <c r="D17" s="17" t="n"/>
      <c r="E17" s="17" t="n"/>
      <c r="F17" s="17" t="n"/>
    </row>
    <row r="18">
      <c r="A18" s="17" t="n"/>
      <c r="B18" s="17" t="n"/>
      <c r="C18" s="17" t="n"/>
      <c r="D18" s="17" t="n"/>
      <c r="E18" s="17" t="n"/>
      <c r="F18" s="17" t="n"/>
    </row>
    <row r="19">
      <c r="A19" s="17" t="n"/>
      <c r="B19" s="17" t="n"/>
      <c r="C19" s="17" t="n"/>
      <c r="D19" s="17" t="n"/>
      <c r="E19" s="17" t="n"/>
      <c r="F19" s="17" t="n"/>
    </row>
    <row r="20">
      <c r="A20" s="17" t="n"/>
      <c r="B20" s="17" t="n"/>
      <c r="C20" s="17" t="n"/>
      <c r="D20" s="17" t="n"/>
      <c r="E20" s="17" t="n"/>
      <c r="F20" s="17" t="n"/>
    </row>
    <row r="21">
      <c r="A21" s="17" t="n"/>
      <c r="B21" s="17" t="n"/>
      <c r="C21" s="17" t="n"/>
      <c r="D21" s="17" t="n"/>
      <c r="E21" s="17" t="n"/>
      <c r="F21" s="17" t="n"/>
    </row>
    <row r="22">
      <c r="A22" s="17" t="n"/>
      <c r="B22" s="17" t="n"/>
      <c r="C22" s="17" t="n"/>
      <c r="D22" s="17" t="n"/>
      <c r="E22" s="17" t="n"/>
      <c r="F22" s="17" t="n"/>
    </row>
    <row r="23">
      <c r="A23" s="17" t="n"/>
      <c r="B23" s="17" t="n"/>
      <c r="C23" s="17" t="n"/>
      <c r="D23" s="17" t="n"/>
      <c r="E23" s="17" t="n"/>
      <c r="F23" s="17" t="n"/>
    </row>
    <row r="24">
      <c r="A24" s="17" t="n"/>
      <c r="B24" s="17" t="n"/>
      <c r="C24" s="17" t="n"/>
      <c r="D24" s="17" t="n"/>
      <c r="E24" s="17" t="n"/>
      <c r="F24" s="17" t="n"/>
    </row>
    <row r="25">
      <c r="A25" s="17" t="n"/>
      <c r="B25" s="17" t="n"/>
      <c r="C25" s="17" t="n"/>
      <c r="D25" s="17" t="n"/>
      <c r="E25" s="17" t="n"/>
      <c r="F25" s="17" t="n"/>
    </row>
    <row r="26">
      <c r="A26" s="17" t="n"/>
      <c r="B26" s="17" t="n"/>
      <c r="C26" s="17" t="n"/>
      <c r="D26" s="17" t="n"/>
      <c r="E26" s="17" t="n"/>
      <c r="F26" s="17" t="n"/>
    </row>
    <row r="27">
      <c r="A27" s="17" t="n"/>
      <c r="B27" s="17" t="n"/>
      <c r="C27" s="17" t="n"/>
      <c r="D27" s="17" t="n"/>
      <c r="E27" s="17" t="n"/>
      <c r="F27" s="17" t="n"/>
    </row>
    <row r="28">
      <c r="A28" s="17" t="n"/>
      <c r="B28" s="17" t="n"/>
      <c r="C28" s="17" t="n"/>
      <c r="D28" s="17" t="n"/>
      <c r="E28" s="17" t="n"/>
      <c r="F28" s="17" t="n"/>
    </row>
    <row r="29">
      <c r="A29" s="17" t="n"/>
      <c r="B29" s="17" t="n"/>
      <c r="C29" s="17" t="n"/>
      <c r="D29" s="17" t="n"/>
      <c r="E29" s="17" t="n"/>
      <c r="F29" s="17" t="n"/>
    </row>
    <row r="30">
      <c r="A30" s="17" t="n"/>
      <c r="B30" s="17" t="n"/>
      <c r="C30" s="17" t="n"/>
      <c r="D30" s="17" t="n"/>
      <c r="E30" s="17" t="n"/>
      <c r="F30" s="17" t="n"/>
    </row>
    <row r="31">
      <c r="A31" s="17" t="n"/>
      <c r="B31" s="17" t="n"/>
      <c r="C31" s="17" t="n"/>
      <c r="D31" s="17" t="n"/>
      <c r="E31" s="17" t="n"/>
      <c r="F31" s="17" t="n"/>
    </row>
    <row r="32">
      <c r="A32" s="17" t="n"/>
      <c r="B32" s="17" t="n"/>
      <c r="C32" s="17" t="n"/>
      <c r="D32" s="17" t="n"/>
      <c r="E32" s="17" t="n"/>
      <c r="F32" s="17" t="n"/>
    </row>
    <row r="33">
      <c r="A33" s="17" t="n"/>
      <c r="B33" s="17" t="n"/>
      <c r="C33" s="17" t="n"/>
      <c r="D33" s="17" t="n"/>
      <c r="E33" s="17" t="n"/>
      <c r="F33" s="17" t="n"/>
    </row>
    <row r="34">
      <c r="A34" s="17" t="n"/>
      <c r="B34" s="17" t="n"/>
      <c r="C34" s="17" t="n"/>
      <c r="D34" s="17" t="n"/>
      <c r="E34" s="17" t="n"/>
      <c r="F34" s="17" t="n"/>
    </row>
    <row r="35">
      <c r="A35" s="17" t="n"/>
      <c r="B35" s="17" t="n"/>
      <c r="C35" s="17" t="n"/>
      <c r="D35" s="17" t="n"/>
      <c r="E35" s="17" t="n"/>
      <c r="F35" s="17" t="n"/>
    </row>
    <row r="36">
      <c r="A36" s="17" t="n"/>
      <c r="B36" s="17" t="n"/>
      <c r="C36" s="17" t="n"/>
      <c r="D36" s="17" t="n"/>
      <c r="E36" s="17" t="n"/>
      <c r="F36" s="17" t="n"/>
    </row>
    <row r="37">
      <c r="A37" s="17" t="n"/>
      <c r="B37" s="17" t="n"/>
      <c r="C37" s="17" t="n"/>
      <c r="D37" s="17" t="n"/>
      <c r="E37" s="17" t="n"/>
      <c r="F37" s="17" t="n"/>
    </row>
    <row r="38">
      <c r="A38" s="17" t="n"/>
      <c r="B38" s="17" t="n"/>
      <c r="C38" s="17" t="n"/>
      <c r="D38" s="17" t="n"/>
      <c r="E38" s="17" t="n"/>
      <c r="F38" s="17" t="n"/>
    </row>
    <row r="39">
      <c r="A39" s="17" t="n"/>
      <c r="B39" s="17" t="n"/>
      <c r="C39" s="17" t="n"/>
      <c r="D39" s="17" t="n"/>
      <c r="E39" s="17" t="n"/>
      <c r="F39" s="17" t="n"/>
    </row>
    <row r="40">
      <c r="A40" s="17" t="n"/>
      <c r="B40" s="17" t="n"/>
      <c r="C40" s="17" t="n"/>
      <c r="D40" s="17" t="n"/>
      <c r="E40" s="17" t="n"/>
      <c r="F40" s="17" t="n"/>
    </row>
    <row r="41">
      <c r="A41" s="17" t="n"/>
      <c r="B41" s="17" t="n"/>
      <c r="C41" s="17" t="n"/>
      <c r="D41" s="17" t="n"/>
      <c r="E41" s="17" t="n"/>
      <c r="F41" s="17" t="n"/>
    </row>
    <row r="42">
      <c r="A42" s="17" t="n"/>
      <c r="B42" s="17" t="n"/>
      <c r="C42" s="17" t="n"/>
      <c r="D42" s="17" t="n"/>
      <c r="E42" s="17" t="n"/>
      <c r="F42" s="17" t="n"/>
    </row>
    <row r="43">
      <c r="A43" s="17" t="n"/>
      <c r="B43" s="17" t="n"/>
      <c r="C43" s="17" t="n"/>
      <c r="D43" s="17" t="n"/>
      <c r="E43" s="17" t="n"/>
      <c r="F43" s="17" t="n"/>
    </row>
    <row r="44">
      <c r="A44" s="17" t="n"/>
      <c r="B44" s="17" t="n"/>
      <c r="C44" s="17" t="n"/>
      <c r="D44" s="17" t="n"/>
      <c r="E44" s="17" t="n"/>
      <c r="F44" s="17" t="n"/>
    </row>
  </sheetData>
  <mergeCells count="1">
    <mergeCell ref="A1:H1"/>
  </mergeCells>
  <dataValidations count="1">
    <dataValidation sqref="C5:C44" showDropDown="0" showInputMessage="0" showErrorMessage="0" allowBlank="1" type="list">
      <formula1>"Camisa do Apostolado,Imagem de Nossa Senhora,Imagem do Sagrado Coração de Jesus,Fita de Consagração,Folheto de Oração Mensal,Terço Bento,Livro de Orações do Apostolado,Convite para Reunião,Boletim Paroquial,Nenhum – visita de acompanhamento pastoral"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45" customWidth="1" min="2" max="2"/>
    <col width="45" customWidth="1" min="3" max="3"/>
    <col width="45" customWidth="1" min="4" max="4"/>
    <col width="30" customWidth="1" min="5" max="5"/>
  </cols>
  <sheetData>
    <row r="1">
      <c r="A1" s="5" t="inlineStr">
        <is>
          <t>Intenções de Oração Mensais</t>
        </is>
      </c>
    </row>
    <row r="3">
      <c r="A3" s="10" t="inlineStr">
        <is>
          <t>Mês/Ano</t>
        </is>
      </c>
      <c r="B3" s="10" t="inlineStr">
        <is>
          <t>Intenção do Papa</t>
        </is>
      </c>
      <c r="C3" s="10" t="inlineStr">
        <is>
          <t>Intenção da Paróquia</t>
        </is>
      </c>
      <c r="D3" s="10" t="inlineStr">
        <is>
          <t>Intenção do Apostolado</t>
        </is>
      </c>
      <c r="E3" s="10" t="inlineStr">
        <is>
          <t>Observação</t>
        </is>
      </c>
    </row>
    <row r="4">
      <c r="A4" t="inlineStr">
        <is>
          <t>Junho/2026</t>
        </is>
      </c>
      <c r="B4" t="inlineStr">
        <is>
          <t>Rezemos pelos que sofrem por causa de conflitos armados.</t>
        </is>
      </c>
      <c r="C4" t="inlineStr">
        <is>
          <t>Pelas famílias da nossa paróquia.</t>
        </is>
      </c>
      <c r="D4" t="inlineStr">
        <is>
          <t>Pelos membros do Apostolado e seus familiares.</t>
        </is>
      </c>
      <c r="E4" t="inlineStr">
        <is>
          <t>Intenção inaugural do sistema.</t>
        </is>
      </c>
    </row>
    <row r="5">
      <c r="A5" s="17" t="n"/>
      <c r="B5" s="17" t="n"/>
      <c r="C5" s="17" t="n"/>
      <c r="D5" s="17" t="n"/>
      <c r="E5" s="17" t="n"/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  <row r="14">
      <c r="A14" s="17" t="n"/>
      <c r="B14" s="17" t="n"/>
      <c r="C14" s="17" t="n"/>
      <c r="D14" s="17" t="n"/>
      <c r="E14" s="17" t="n"/>
    </row>
    <row r="15">
      <c r="A15" s="17" t="n"/>
      <c r="B15" s="17" t="n"/>
      <c r="C15" s="17" t="n"/>
      <c r="D15" s="17" t="n"/>
      <c r="E15" s="17" t="n"/>
    </row>
    <row r="16">
      <c r="A16" s="17" t="n"/>
      <c r="B16" s="17" t="n"/>
      <c r="C16" s="17" t="n"/>
      <c r="D16" s="17" t="n"/>
      <c r="E16" s="17" t="n"/>
    </row>
    <row r="17">
      <c r="A17" s="17" t="n"/>
      <c r="B17" s="17" t="n"/>
      <c r="C17" s="17" t="n"/>
      <c r="D17" s="17" t="n"/>
      <c r="E17" s="17" t="n"/>
    </row>
    <row r="18">
      <c r="A18" s="17" t="n"/>
      <c r="B18" s="17" t="n"/>
      <c r="C18" s="17" t="n"/>
      <c r="D18" s="17" t="n"/>
      <c r="E18" s="17" t="n"/>
    </row>
    <row r="19">
      <c r="A19" s="17" t="n"/>
      <c r="B19" s="17" t="n"/>
      <c r="C19" s="17" t="n"/>
      <c r="D19" s="17" t="n"/>
      <c r="E19" s="17" t="n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22" customWidth="1" min="3" max="3"/>
    <col width="40" customWidth="1" min="4" max="4"/>
    <col width="35" customWidth="1" min="5" max="5"/>
    <col width="25" customWidth="1" min="6" max="6"/>
    <col width="30" customWidth="1" min="7" max="7"/>
  </cols>
  <sheetData>
    <row r="1">
      <c r="A1" s="5" t="inlineStr">
        <is>
          <t>Agenda Pastoral do Apostolado</t>
        </is>
      </c>
    </row>
    <row r="3">
      <c r="A3" s="10" t="inlineStr">
        <is>
          <t>Data</t>
        </is>
      </c>
      <c r="B3" s="10" t="inlineStr">
        <is>
          <t>Hora</t>
        </is>
      </c>
      <c r="C3" s="10" t="inlineStr">
        <is>
          <t>Tipo</t>
        </is>
      </c>
      <c r="D3" s="10" t="inlineStr">
        <is>
          <t>Descrição</t>
        </is>
      </c>
      <c r="E3" s="10" t="inlineStr">
        <is>
          <t>Local</t>
        </is>
      </c>
      <c r="F3" s="10" t="inlineStr">
        <is>
          <t>Presentes</t>
        </is>
      </c>
      <c r="G3" s="10" t="inlineStr">
        <is>
          <t>Observação</t>
        </is>
      </c>
    </row>
    <row r="4">
      <c r="A4" s="4" t="n">
        <v>46179</v>
      </c>
      <c r="B4" t="inlineStr">
        <is>
          <t>19h30</t>
        </is>
      </c>
      <c r="C4" t="inlineStr">
        <is>
          <t>Reunião Mensal</t>
        </is>
      </c>
      <c r="D4" t="inlineStr">
        <is>
          <t>Reunião ordinária do Apostolado da Oração</t>
        </is>
      </c>
      <c r="E4" t="inlineStr">
        <is>
          <t>Salão Paroquial – Paróquia São Jorge</t>
        </is>
      </c>
    </row>
    <row r="5">
      <c r="A5" s="17" t="n"/>
      <c r="B5" s="17" t="n"/>
      <c r="C5" s="17" t="n"/>
      <c r="D5" s="17" t="n"/>
      <c r="E5" s="17" t="n"/>
      <c r="F5" s="17" t="n"/>
      <c r="G5" s="17" t="n"/>
    </row>
    <row r="6">
      <c r="A6" s="17" t="n"/>
      <c r="B6" s="17" t="n"/>
      <c r="C6" s="17" t="n"/>
      <c r="D6" s="17" t="n"/>
      <c r="E6" s="17" t="n"/>
      <c r="F6" s="17" t="n"/>
      <c r="G6" s="17" t="n"/>
    </row>
    <row r="7">
      <c r="A7" s="17" t="n"/>
      <c r="B7" s="17" t="n"/>
      <c r="C7" s="17" t="n"/>
      <c r="D7" s="17" t="n"/>
      <c r="E7" s="17" t="n"/>
      <c r="F7" s="17" t="n"/>
      <c r="G7" s="17" t="n"/>
    </row>
    <row r="8">
      <c r="A8" s="17" t="n"/>
      <c r="B8" s="17" t="n"/>
      <c r="C8" s="17" t="n"/>
      <c r="D8" s="17" t="n"/>
      <c r="E8" s="17" t="n"/>
      <c r="F8" s="17" t="n"/>
      <c r="G8" s="17" t="n"/>
    </row>
    <row r="9">
      <c r="A9" s="17" t="n"/>
      <c r="B9" s="17" t="n"/>
      <c r="C9" s="17" t="n"/>
      <c r="D9" s="17" t="n"/>
      <c r="E9" s="17" t="n"/>
      <c r="F9" s="17" t="n"/>
      <c r="G9" s="17" t="n"/>
    </row>
    <row r="10">
      <c r="A10" s="17" t="n"/>
      <c r="B10" s="17" t="n"/>
      <c r="C10" s="17" t="n"/>
      <c r="D10" s="17" t="n"/>
      <c r="E10" s="17" t="n"/>
      <c r="F10" s="17" t="n"/>
      <c r="G10" s="17" t="n"/>
    </row>
    <row r="11">
      <c r="A11" s="17" t="n"/>
      <c r="B11" s="17" t="n"/>
      <c r="C11" s="17" t="n"/>
      <c r="D11" s="17" t="n"/>
      <c r="E11" s="17" t="n"/>
      <c r="F11" s="17" t="n"/>
      <c r="G11" s="17" t="n"/>
    </row>
    <row r="12">
      <c r="A12" s="17" t="n"/>
      <c r="B12" s="17" t="n"/>
      <c r="C12" s="17" t="n"/>
      <c r="D12" s="17" t="n"/>
      <c r="E12" s="17" t="n"/>
      <c r="F12" s="17" t="n"/>
      <c r="G12" s="17" t="n"/>
    </row>
    <row r="13">
      <c r="A13" s="17" t="n"/>
      <c r="B13" s="17" t="n"/>
      <c r="C13" s="17" t="n"/>
      <c r="D13" s="17" t="n"/>
      <c r="E13" s="17" t="n"/>
      <c r="F13" s="17" t="n"/>
      <c r="G13" s="17" t="n"/>
    </row>
    <row r="14">
      <c r="A14" s="17" t="n"/>
      <c r="B14" s="17" t="n"/>
      <c r="C14" s="17" t="n"/>
      <c r="D14" s="17" t="n"/>
      <c r="E14" s="17" t="n"/>
      <c r="F14" s="17" t="n"/>
      <c r="G14" s="17" t="n"/>
    </row>
    <row r="15">
      <c r="A15" s="17" t="n"/>
      <c r="B15" s="17" t="n"/>
      <c r="C15" s="17" t="n"/>
      <c r="D15" s="17" t="n"/>
      <c r="E15" s="17" t="n"/>
      <c r="F15" s="17" t="n"/>
      <c r="G15" s="17" t="n"/>
    </row>
    <row r="16">
      <c r="A16" s="17" t="n"/>
      <c r="B16" s="17" t="n"/>
      <c r="C16" s="17" t="n"/>
      <c r="D16" s="17" t="n"/>
      <c r="E16" s="17" t="n"/>
      <c r="F16" s="17" t="n"/>
      <c r="G16" s="17" t="n"/>
    </row>
    <row r="17">
      <c r="A17" s="17" t="n"/>
      <c r="B17" s="17" t="n"/>
      <c r="C17" s="17" t="n"/>
      <c r="D17" s="17" t="n"/>
      <c r="E17" s="17" t="n"/>
      <c r="F17" s="17" t="n"/>
      <c r="G17" s="17" t="n"/>
    </row>
    <row r="18">
      <c r="A18" s="17" t="n"/>
      <c r="B18" s="17" t="n"/>
      <c r="C18" s="17" t="n"/>
      <c r="D18" s="17" t="n"/>
      <c r="E18" s="17" t="n"/>
      <c r="F18" s="17" t="n"/>
      <c r="G18" s="17" t="n"/>
    </row>
    <row r="19">
      <c r="A19" s="17" t="n"/>
      <c r="B19" s="17" t="n"/>
      <c r="C19" s="17" t="n"/>
      <c r="D19" s="17" t="n"/>
      <c r="E19" s="17" t="n"/>
      <c r="F19" s="17" t="n"/>
      <c r="G19" s="17" t="n"/>
    </row>
    <row r="20">
      <c r="A20" s="17" t="n"/>
      <c r="B20" s="17" t="n"/>
      <c r="C20" s="17" t="n"/>
      <c r="D20" s="17" t="n"/>
      <c r="E20" s="17" t="n"/>
      <c r="F20" s="17" t="n"/>
      <c r="G20" s="17" t="n"/>
    </row>
    <row r="21">
      <c r="A21" s="17" t="n"/>
      <c r="B21" s="17" t="n"/>
      <c r="C21" s="17" t="n"/>
      <c r="D21" s="17" t="n"/>
      <c r="E21" s="17" t="n"/>
      <c r="F21" s="17" t="n"/>
      <c r="G21" s="17" t="n"/>
    </row>
    <row r="22">
      <c r="A22" s="17" t="n"/>
      <c r="B22" s="17" t="n"/>
      <c r="C22" s="17" t="n"/>
      <c r="D22" s="17" t="n"/>
      <c r="E22" s="17" t="n"/>
      <c r="F22" s="17" t="n"/>
      <c r="G22" s="17" t="n"/>
    </row>
    <row r="23">
      <c r="A23" s="17" t="n"/>
      <c r="B23" s="17" t="n"/>
      <c r="C23" s="17" t="n"/>
      <c r="D23" s="17" t="n"/>
      <c r="E23" s="17" t="n"/>
      <c r="F23" s="17" t="n"/>
      <c r="G23" s="17" t="n"/>
    </row>
    <row r="24">
      <c r="A24" s="17" t="n"/>
      <c r="B24" s="17" t="n"/>
      <c r="C24" s="17" t="n"/>
      <c r="D24" s="17" t="n"/>
      <c r="E24" s="17" t="n"/>
      <c r="F24" s="17" t="n"/>
      <c r="G24" s="17" t="n"/>
    </row>
    <row r="25">
      <c r="A25" s="17" t="n"/>
      <c r="B25" s="17" t="n"/>
      <c r="C25" s="17" t="n"/>
      <c r="D25" s="17" t="n"/>
      <c r="E25" s="17" t="n"/>
      <c r="F25" s="17" t="n"/>
      <c r="G25" s="17" t="n"/>
    </row>
    <row r="26">
      <c r="A26" s="17" t="n"/>
      <c r="B26" s="17" t="n"/>
      <c r="C26" s="17" t="n"/>
      <c r="D26" s="17" t="n"/>
      <c r="E26" s="17" t="n"/>
      <c r="F26" s="17" t="n"/>
      <c r="G26" s="17" t="n"/>
    </row>
    <row r="27">
      <c r="A27" s="17" t="n"/>
      <c r="B27" s="17" t="n"/>
      <c r="C27" s="17" t="n"/>
      <c r="D27" s="17" t="n"/>
      <c r="E27" s="17" t="n"/>
      <c r="F27" s="17" t="n"/>
      <c r="G27" s="17" t="n"/>
    </row>
    <row r="28">
      <c r="A28" s="17" t="n"/>
      <c r="B28" s="17" t="n"/>
      <c r="C28" s="17" t="n"/>
      <c r="D28" s="17" t="n"/>
      <c r="E28" s="17" t="n"/>
      <c r="F28" s="17" t="n"/>
      <c r="G28" s="17" t="n"/>
    </row>
    <row r="29">
      <c r="A29" s="17" t="n"/>
      <c r="B29" s="17" t="n"/>
      <c r="C29" s="17" t="n"/>
      <c r="D29" s="17" t="n"/>
      <c r="E29" s="17" t="n"/>
      <c r="F29" s="17" t="n"/>
      <c r="G29" s="17" t="n"/>
    </row>
    <row r="30">
      <c r="A30" s="17" t="n"/>
      <c r="B30" s="17" t="n"/>
      <c r="C30" s="17" t="n"/>
      <c r="D30" s="17" t="n"/>
      <c r="E30" s="17" t="n"/>
      <c r="F30" s="17" t="n"/>
      <c r="G30" s="17" t="n"/>
    </row>
    <row r="31">
      <c r="A31" s="17" t="n"/>
      <c r="B31" s="17" t="n"/>
      <c r="C31" s="17" t="n"/>
      <c r="D31" s="17" t="n"/>
      <c r="E31" s="17" t="n"/>
      <c r="F31" s="17" t="n"/>
      <c r="G31" s="17" t="n"/>
    </row>
    <row r="32">
      <c r="A32" s="17" t="n"/>
      <c r="B32" s="17" t="n"/>
      <c r="C32" s="17" t="n"/>
      <c r="D32" s="17" t="n"/>
      <c r="E32" s="17" t="n"/>
      <c r="F32" s="17" t="n"/>
      <c r="G32" s="17" t="n"/>
    </row>
    <row r="33">
      <c r="A33" s="17" t="n"/>
      <c r="B33" s="17" t="n"/>
      <c r="C33" s="17" t="n"/>
      <c r="D33" s="17" t="n"/>
      <c r="E33" s="17" t="n"/>
      <c r="F33" s="17" t="n"/>
      <c r="G33" s="17" t="n"/>
    </row>
    <row r="34">
      <c r="A34" s="17" t="n"/>
      <c r="B34" s="17" t="n"/>
      <c r="C34" s="17" t="n"/>
      <c r="D34" s="17" t="n"/>
      <c r="E34" s="17" t="n"/>
      <c r="F34" s="17" t="n"/>
      <c r="G34" s="17" t="n"/>
    </row>
  </sheetData>
  <mergeCells count="1">
    <mergeCell ref="A1:G1"/>
  </mergeCells>
  <dataValidations count="1">
    <dataValidation sqref="C5:C40" showDropDown="0" showInputMessage="0" showErrorMessage="0" allowBlank="1" type="list">
      <formula1>"Reunião Mensal,Primeira Sexta-feira,Visita Pastoral,Missa,Formação,Festa Litúrgica,Outro"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5" t="inlineStr">
        <is>
          <t>Inconsistências – Revisão Pastoral</t>
        </is>
      </c>
    </row>
    <row r="2">
      <c r="A2" s="16" t="inlineStr">
        <is>
          <t>Cada inconsistência é um convite ao cuidado. Resolva com calma e caridade.</t>
        </is>
      </c>
    </row>
    <row r="4">
      <c r="A4" s="10" t="inlineStr">
        <is>
          <t>Categoria</t>
        </is>
      </c>
      <c r="B4" s="10" t="inlineStr">
        <is>
          <t>Prioridade</t>
        </is>
      </c>
      <c r="C4" s="10" t="inlineStr">
        <is>
          <t>Descrição</t>
        </is>
      </c>
      <c r="D4" s="10" t="inlineStr">
        <is>
          <t>Ação Sugerida</t>
        </is>
      </c>
      <c r="E4" s="10" t="inlineStr">
        <is>
          <t>Resolvida?</t>
        </is>
      </c>
    </row>
    <row r="5">
      <c r="A5" t="inlineStr">
        <is>
          <t>Duplicidade potencial</t>
        </is>
      </c>
      <c r="B5" t="inlineStr">
        <is>
          <t>🔴 Crítica</t>
        </is>
      </c>
      <c r="C5" t="inlineStr">
        <is>
          <t>Helena (#45) sem sobrenome pode ser duplicata de Helena Rosante (#17).</t>
        </is>
      </c>
      <c r="D5" t="inlineStr">
        <is>
          <t>Revisar manualmente: confirmar se #45 é mesma pessoa de #17.</t>
        </is>
      </c>
      <c r="E5" t="inlineStr">
        <is>
          <t>Não</t>
        </is>
      </c>
    </row>
    <row r="6">
      <c r="A6" t="inlineStr">
        <is>
          <t>Duplicidade potencial</t>
        </is>
      </c>
      <c r="B6" t="inlineStr">
        <is>
          <t>🟠 Alta</t>
        </is>
      </c>
      <c r="C6" t="inlineStr">
        <is>
          <t>Vera Lucia (#56) e Irene Pedrao (#102) – mesmo endereço (Rua Ângelo, 471) e mesma data de nascimento (04/07/1977).</t>
        </is>
      </c>
      <c r="D6" t="inlineStr">
        <is>
          <t>Verificar se são a mesma pessoa ou grafia diferente da rua (Piconi × Diconi).</t>
        </is>
      </c>
      <c r="E6" t="inlineStr">
        <is>
          <t>Não</t>
        </is>
      </c>
    </row>
    <row r="7">
      <c r="A7" t="inlineStr">
        <is>
          <t>Situação confirmada</t>
        </is>
      </c>
      <c r="B7" t="inlineStr">
        <is>
          <t>🟠 Alta</t>
        </is>
      </c>
      <c r="C7" t="inlineStr">
        <is>
          <t>Maria Neusa Pessoa Pavan (#54) marcada como DESISTENTE.</t>
        </is>
      </c>
      <c r="D7" t="inlineStr">
        <is>
          <t>Retirar da rota de visitas. Guardar registro histórico.</t>
        </is>
      </c>
      <c r="E7" t="inlineStr">
        <is>
          <t>Não</t>
        </is>
      </c>
    </row>
    <row r="8">
      <c r="A8" t="inlineStr">
        <is>
          <t>Aniversário incompleto</t>
        </is>
      </c>
      <c r="B8" t="inlineStr">
        <is>
          <t>🟠 Alta</t>
        </is>
      </c>
      <c r="C8" t="inlineStr">
        <is>
          <t>Iara (#25) – dia 23/12, ano ilegível.</t>
        </is>
      </c>
      <c r="D8" t="inlineStr">
        <is>
          <t>Solicitar confirmação do ano de nascimento.</t>
        </is>
      </c>
      <c r="E8" t="inlineStr">
        <is>
          <t>Não</t>
        </is>
      </c>
    </row>
    <row r="9">
      <c r="A9" t="inlineStr">
        <is>
          <t>Aniversário incompleto</t>
        </is>
      </c>
      <c r="B9" t="inlineStr">
        <is>
          <t>🟠 Alta</t>
        </is>
      </c>
      <c r="C9" t="inlineStr">
        <is>
          <t>Maria José (#30) – dia/mês 08/06, ano ilegível.</t>
        </is>
      </c>
      <c r="D9" t="inlineStr">
        <is>
          <t>Solicitar confirmação do ano de nascimento.</t>
        </is>
      </c>
      <c r="E9" t="inlineStr">
        <is>
          <t>Não</t>
        </is>
      </c>
    </row>
    <row r="10">
      <c r="A10" t="inlineStr">
        <is>
          <t>Aniversário incompleto</t>
        </is>
      </c>
      <c r="B10" t="inlineStr">
        <is>
          <t>🟠 Alta</t>
        </is>
      </c>
      <c r="C10" t="inlineStr">
        <is>
          <t>Rosa Pigato (#32) – dia/mês 15/02, ano ilegível. Falecida.</t>
        </is>
      </c>
      <c r="D10" t="inlineStr">
        <is>
          <t>Verificar com família.</t>
        </is>
      </c>
      <c r="E10" t="inlineStr">
        <is>
          <t>Não</t>
        </is>
      </c>
    </row>
    <row r="11">
      <c r="A11" t="inlineStr">
        <is>
          <t>Aniversário incompleto</t>
        </is>
      </c>
      <c r="B11" t="inlineStr">
        <is>
          <t>🔴 Crítica</t>
        </is>
      </c>
      <c r="C11" t="inlineStr">
        <is>
          <t>Maria Soares (#33) – aniversário completamente ilegível. Falecida.</t>
        </is>
      </c>
      <c r="D11" t="inlineStr">
        <is>
          <t>Verificar com família.</t>
        </is>
      </c>
      <c r="E11" t="inlineStr">
        <is>
          <t>Não</t>
        </is>
      </c>
    </row>
    <row r="12">
      <c r="A12" t="inlineStr">
        <is>
          <t>Falecimento sem data</t>
        </is>
      </c>
      <c r="B12" t="inlineStr">
        <is>
          <t>🟠 Alta</t>
        </is>
      </c>
      <c r="C12" t="inlineStr">
        <is>
          <t>Teresa (#26), Luíza Marrick (#28), Leonice (#29), Maria de Lourdes (#31), Rosa Pigato (#32), Maria Soares (#33) – datas de falecimento não registradas.</t>
        </is>
      </c>
      <c r="D12" t="inlineStr">
        <is>
          <t>Buscar datas nos registros da Paróquia.</t>
        </is>
      </c>
      <c r="E12" t="inlineStr">
        <is>
          <t>Não</t>
        </is>
      </c>
    </row>
    <row r="13">
      <c r="A13" t="inlineStr">
        <is>
          <t>Falecimento confirmado com data</t>
        </is>
      </c>
      <c r="B13" t="inlineStr">
        <is>
          <t>🔵 Informativa</t>
        </is>
      </c>
      <c r="C13" t="inlineStr">
        <is>
          <t>Olímpia Straiotto Garcia (#37) – faleceu em 15/04/2024.</t>
        </is>
      </c>
      <c r="D13" t="inlineStr">
        <is>
          <t>Registro completo.</t>
        </is>
      </c>
      <c r="E13" t="inlineStr">
        <is>
          <t>Sim</t>
        </is>
      </c>
    </row>
    <row r="14">
      <c r="A14" t="inlineStr">
        <is>
          <t>Sobrenome ausente</t>
        </is>
      </c>
      <c r="B14" t="inlineStr">
        <is>
          <t>🟡 Média</t>
        </is>
      </c>
      <c r="C14" t="inlineStr">
        <is>
          <t>17 membros sem sobrenome completo.</t>
        </is>
      </c>
      <c r="D14" t="inlineStr">
        <is>
          <t>Atualizar registros quando possível.</t>
        </is>
      </c>
      <c r="E14" t="inlineStr">
        <is>
          <t>Não</t>
        </is>
      </c>
    </row>
    <row r="15">
      <c r="A15" t="inlineStr">
        <is>
          <t>Telefone parcialmente ilegível</t>
        </is>
      </c>
      <c r="B15" t="inlineStr">
        <is>
          <t>🟡 Média</t>
        </is>
      </c>
      <c r="C15" t="inlineStr">
        <is>
          <t>Cacilda(#6), Graziela(#9), Natália(#36), Marlene(#49), Dana(#51) – dígitos ilegíveis.</t>
        </is>
      </c>
      <c r="D15" t="inlineStr">
        <is>
          <t>Solicitar atualização nas próximas visitas.</t>
        </is>
      </c>
      <c r="E15" t="inlineStr">
        <is>
          <t>Não</t>
        </is>
      </c>
    </row>
    <row r="16">
      <c r="A16" t="inlineStr">
        <is>
          <t>Endereço vazio</t>
        </is>
      </c>
      <c r="B16" t="inlineStr">
        <is>
          <t>🟡 Média</t>
        </is>
      </c>
      <c r="C16" t="inlineStr">
        <is>
          <t>18 membros sem endereço registrado.</t>
        </is>
      </c>
      <c r="D16" t="inlineStr">
        <is>
          <t>Atualizar endereços nas próximas visitas.</t>
        </is>
      </c>
      <c r="E16" t="inlineStr">
        <is>
          <t>Não</t>
        </is>
      </c>
    </row>
    <row r="17">
      <c r="A17" t="inlineStr">
        <is>
          <t>Lacuna na numeração</t>
        </is>
      </c>
      <c r="B17" t="inlineStr">
        <is>
          <t>🔵 Informativa</t>
        </is>
      </c>
      <c r="C17" t="inlineStr">
        <is>
          <t>Número 7 ausente entre Cacilda(#6) e Célia(#8).</t>
        </is>
      </c>
      <c r="D17" t="inlineStr">
        <is>
          <t>Conferir livro físico.</t>
        </is>
      </c>
      <c r="E17" t="inlineStr">
        <is>
          <t>Não</t>
        </is>
      </c>
    </row>
    <row r="18">
      <c r="A18" t="inlineStr">
        <is>
          <t>Telefone DDD não local</t>
        </is>
      </c>
      <c r="B18" t="inlineStr">
        <is>
          <t>🔵 Informativa</t>
        </is>
      </c>
      <c r="C18" t="inlineStr">
        <is>
          <t>Luiz Ferreira(#50) DDD 11; Eliane(#55) DDD 11.</t>
        </is>
      </c>
      <c r="D18" t="inlineStr">
        <is>
          <t>Confirmar se são números atuais.</t>
        </is>
      </c>
      <c r="E18" t="inlineStr">
        <is>
          <t>Não</t>
        </is>
      </c>
    </row>
    <row r="19">
      <c r="A19" t="inlineStr">
        <is>
          <t>Grafia incomum</t>
        </is>
      </c>
      <c r="B19" t="inlineStr">
        <is>
          <t>🔵 Informativa</t>
        </is>
      </c>
      <c r="C19" t="inlineStr">
        <is>
          <t>Joanda(#47); Neuza Rafa(#35).</t>
        </is>
      </c>
      <c r="D19" t="inlineStr">
        <is>
          <t>Confirmar grafia oficial.</t>
        </is>
      </c>
      <c r="E19" t="inlineStr">
        <is>
          <t>Não</t>
        </is>
      </c>
    </row>
    <row r="20">
      <c r="A20" t="inlineStr">
        <is>
          <t>Parentesco presumido</t>
        </is>
      </c>
      <c r="B20" t="inlineStr">
        <is>
          <t>🔵 Informativa</t>
        </is>
      </c>
      <c r="C20" t="inlineStr">
        <is>
          <t>Luiz Antônio(#24) &amp; Iara(#25); família Rosante-Caetano; Frizoni; Graziela &amp; Lucas; Rosangela &amp; Carlos.</t>
        </is>
      </c>
      <c r="D20" t="inlineStr">
        <is>
          <t>Registrar laço familiar nas observações.</t>
        </is>
      </c>
      <c r="E20" t="inlineStr">
        <is>
          <t>Não</t>
        </is>
      </c>
    </row>
    <row r="21">
      <c r="A21" t="inlineStr">
        <is>
          <t>Consagração registrada</t>
        </is>
      </c>
      <c r="B21" t="inlineStr">
        <is>
          <t>🔵 Informativa</t>
        </is>
      </c>
      <c r="C21" t="inlineStr">
        <is>
          <t>Eliane (#55) e Vera Lucia (#56) consagradas em 05/06/2026.</t>
        </is>
      </c>
      <c r="D21" t="inlineStr">
        <is>
          <t>Data oficial registrada na coluna Observações.</t>
        </is>
      </c>
      <c r="E21" t="inlineStr">
        <is>
          <t>Sim</t>
        </is>
      </c>
    </row>
  </sheetData>
  <mergeCells count="2">
    <mergeCell ref="A2:E2"/>
    <mergeCell ref="A1:E1"/>
  </mergeCells>
  <conditionalFormatting sqref="A5:E21">
    <cfRule type="cellIs" priority="1" operator="equal" dxfId="7">
      <formula>"Sim"</formula>
    </cfRule>
    <cfRule type="cellIs" priority="2" operator="equal" dxfId="8">
      <formula>"Em andamento"</formula>
    </cfRule>
  </conditionalFormatting>
  <dataValidations count="1">
    <dataValidation sqref="E5:E21" showDropDown="0" showInputMessage="0" showErrorMessage="0" allowBlank="1" type="list">
      <formula1>"Não,Em andamento,Sim"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18" customWidth="1" min="2" max="2"/>
  </cols>
  <sheetData>
    <row r="1">
      <c r="A1" s="5" t="inlineStr">
        <is>
          <t>Relatórios Pastorais</t>
        </is>
      </c>
    </row>
    <row r="2">
      <c r="A2" s="16" t="inlineStr">
        <is>
          <t>Atualiza automaticamente quando você edita a aba Membros.</t>
        </is>
      </c>
    </row>
    <row r="4">
      <c r="A4" s="18" t="inlineStr">
        <is>
          <t>Por Situação</t>
        </is>
      </c>
    </row>
    <row r="5">
      <c r="A5" s="10" t="inlineStr">
        <is>
          <t>Situação</t>
        </is>
      </c>
      <c r="B5" s="10" t="inlineStr">
        <is>
          <t>Quantidade</t>
        </is>
      </c>
    </row>
    <row r="6">
      <c r="A6" t="inlineStr">
        <is>
          <t>Ativo</t>
        </is>
      </c>
      <c r="B6">
        <f>CONT.SE('📋 Membros'!N:N,"Ativo")</f>
        <v/>
      </c>
    </row>
    <row r="7">
      <c r="A7" t="inlineStr">
        <is>
          <t>Ativo (presumido)</t>
        </is>
      </c>
      <c r="B7">
        <f>CONT.SE('📋 Membros'!N:N,"Ativo (presumido)")</f>
        <v/>
      </c>
    </row>
    <row r="8">
      <c r="A8" t="inlineStr">
        <is>
          <t>Inativo</t>
        </is>
      </c>
      <c r="B8">
        <f>CONT.SE('📋 Membros'!N:N,"Inativo")</f>
        <v/>
      </c>
    </row>
    <row r="9">
      <c r="A9" t="inlineStr">
        <is>
          <t>Desistente</t>
        </is>
      </c>
      <c r="B9">
        <f>CONT.SE('📋 Membros'!N:N,"Desistente")</f>
        <v/>
      </c>
    </row>
    <row r="10">
      <c r="A10" t="inlineStr">
        <is>
          <t>Falecida</t>
        </is>
      </c>
      <c r="B10">
        <f>CONT.SE('📋 Membros'!N:N,"Falecida")</f>
        <v/>
      </c>
    </row>
    <row r="11">
      <c r="A11" s="19" t="inlineStr">
        <is>
          <t>TOTAL</t>
        </is>
      </c>
      <c r="B11" s="19">
        <f>SOMA(B6:B10)</f>
        <v/>
      </c>
    </row>
    <row r="13">
      <c r="A13" s="18" t="inlineStr">
        <is>
          <t>Consagrados</t>
        </is>
      </c>
    </row>
    <row r="14">
      <c r="A14" t="inlineStr">
        <is>
          <t>Total consagrados:</t>
        </is>
      </c>
      <c r="B14">
        <f>CONT.SE('📋 Membros'!O:O,"Sim")</f>
        <v/>
      </c>
    </row>
    <row r="16">
      <c r="A16" s="18" t="inlineStr">
        <is>
          <t>Completude do Cadastro</t>
        </is>
      </c>
    </row>
    <row r="17">
      <c r="A17" t="inlineStr">
        <is>
          <t>Sem telefone</t>
        </is>
      </c>
      <c r="B17">
        <f>CONT.SE('📋 Membros'!L:L,"")</f>
        <v/>
      </c>
    </row>
    <row r="18">
      <c r="A18" t="inlineStr">
        <is>
          <t>Sem endereço</t>
        </is>
      </c>
      <c r="B18">
        <f>CONT.SE('📋 Membros'!I:I,"")</f>
        <v/>
      </c>
    </row>
    <row r="19">
      <c r="A19" t="inlineStr">
        <is>
          <t>Sem função pastoral</t>
        </is>
      </c>
      <c r="B19">
        <f>CONT.SE('📋 Membros'!M:M,"")</f>
        <v/>
      </c>
    </row>
    <row r="21">
      <c r="A21" s="18" t="inlineStr">
        <is>
          <t>Membros Ativos por Bairro</t>
        </is>
      </c>
    </row>
    <row r="22">
      <c r="A22" s="10" t="inlineStr">
        <is>
          <t>Bairro</t>
        </is>
      </c>
      <c r="B22" s="10" t="inlineStr">
        <is>
          <t>Membros Ativos</t>
        </is>
      </c>
    </row>
    <row r="23">
      <c r="A23" t="inlineStr">
        <is>
          <t>Jd. Fibra</t>
        </is>
      </c>
      <c r="B23">
        <f>CONT.SE('📋 Membros'!J:J,A23)</f>
        <v/>
      </c>
    </row>
    <row r="24">
      <c r="A24" t="inlineStr">
        <is>
          <t>N. Sra. de Fátima</t>
        </is>
      </c>
      <c r="B24">
        <f>CONT.SE('📋 Membros'!J:J,A24)</f>
        <v/>
      </c>
    </row>
    <row r="25">
      <c r="A25" t="inlineStr">
        <is>
          <t>Nova Odessa</t>
        </is>
      </c>
      <c r="B25">
        <f>CONT.SE('📋 Membros'!J:J,A25)</f>
        <v/>
      </c>
    </row>
    <row r="26">
      <c r="A26" t="inlineStr">
        <is>
          <t>Res. Fibra</t>
        </is>
      </c>
      <c r="B26">
        <f>CONT.SE('📋 Membros'!J:J,A26)</f>
        <v/>
      </c>
    </row>
    <row r="27">
      <c r="A27" t="inlineStr">
        <is>
          <t>Residencial Santa Luíza II</t>
        </is>
      </c>
      <c r="B27">
        <f>CONT.SE('📋 Membros'!J:J,A27)</f>
        <v/>
      </c>
    </row>
    <row r="28">
      <c r="A28" t="inlineStr">
        <is>
          <t>Santa Luíza I</t>
        </is>
      </c>
      <c r="B28">
        <f>CONT.SE('📋 Membros'!J:J,A28)</f>
        <v/>
      </c>
    </row>
    <row r="29">
      <c r="A29" t="inlineStr">
        <is>
          <t>Santa Luíza II</t>
        </is>
      </c>
      <c r="B29">
        <f>CONT.SE('📋 Membros'!J:J,A29)</f>
        <v/>
      </c>
    </row>
    <row r="30">
      <c r="A30" t="inlineStr">
        <is>
          <t>Terranova</t>
        </is>
      </c>
      <c r="B30">
        <f>CONT.SE('📋 Membros'!J:J,A30)</f>
        <v/>
      </c>
    </row>
    <row r="31">
      <c r="A31" t="inlineStr">
        <is>
          <t>Triunfo</t>
        </is>
      </c>
      <c r="B31">
        <f>CONT.SE('📋 Membros'!J:J,A31)</f>
        <v/>
      </c>
    </row>
  </sheetData>
  <mergeCells count="1"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15" customWidth="1" min="2" max="2"/>
    <col width="18" customWidth="1" min="3" max="3"/>
    <col width="50" customWidth="1" min="4" max="4"/>
  </cols>
  <sheetData>
    <row r="1">
      <c r="A1" s="5" t="inlineStr">
        <is>
          <t>Memorial – Membros Falecidos</t>
        </is>
      </c>
    </row>
    <row r="2">
      <c r="A2" s="20" t="inlineStr">
        <is>
          <t>Em memória dos que nos precederam no caminho da fé.</t>
        </is>
      </c>
    </row>
    <row r="4">
      <c r="A4" s="10" t="inlineStr">
        <is>
          <t>Nome</t>
        </is>
      </c>
      <c r="B4" s="10" t="inlineStr">
        <is>
          <t>Data Nasc.</t>
        </is>
      </c>
      <c r="C4" s="10" t="inlineStr">
        <is>
          <t>Data Falecimento</t>
        </is>
      </c>
      <c r="D4" s="10" t="inlineStr">
        <is>
          <t>Observação Pastoral</t>
        </is>
      </c>
    </row>
    <row r="5">
      <c r="A5" s="21" t="inlineStr">
        <is>
          <t>Teresa</t>
        </is>
      </c>
      <c r="B5" s="22" t="n">
        <v>26834</v>
      </c>
      <c r="C5" s="21" t="inlineStr">
        <is>
          <t>data não registrada</t>
        </is>
      </c>
      <c r="D5" s="21" t="inlineStr">
        <is>
          <t>#26 – Faleceu – data não registrada</t>
        </is>
      </c>
    </row>
    <row r="6">
      <c r="A6" s="21" t="inlineStr">
        <is>
          <t>Luíza Marrick</t>
        </is>
      </c>
      <c r="B6" s="22" t="n">
        <v>15578</v>
      </c>
      <c r="C6" s="21" t="inlineStr">
        <is>
          <t>data não registrada</t>
        </is>
      </c>
      <c r="D6" s="21" t="inlineStr">
        <is>
          <t>#28</t>
        </is>
      </c>
    </row>
    <row r="7">
      <c r="A7" s="21" t="inlineStr">
        <is>
          <t>Leonice</t>
        </is>
      </c>
      <c r="B7" s="22" t="n">
        <v>16414</v>
      </c>
      <c r="C7" s="21" t="inlineStr">
        <is>
          <t>data não registrada</t>
        </is>
      </c>
      <c r="D7" s="21" t="inlineStr">
        <is>
          <t>#29 – Sobrenome não registrado</t>
        </is>
      </c>
    </row>
    <row r="8">
      <c r="A8" s="21" t="inlineStr">
        <is>
          <t>Maria de Lourdes</t>
        </is>
      </c>
      <c r="B8" s="22" t="n">
        <v>15781</v>
      </c>
      <c r="C8" s="21" t="inlineStr">
        <is>
          <t>data não registrada</t>
        </is>
      </c>
      <c r="D8" s="21" t="inlineStr">
        <is>
          <t>#31</t>
        </is>
      </c>
    </row>
    <row r="9">
      <c r="A9" s="21" t="inlineStr">
        <is>
          <t>Rosa Pigato</t>
        </is>
      </c>
      <c r="B9" s="21" t="n"/>
      <c r="C9" s="21" t="inlineStr">
        <is>
          <t>data não registrada</t>
        </is>
      </c>
      <c r="D9" s="21" t="inlineStr">
        <is>
          <t>#32 – Aniversário ilegível</t>
        </is>
      </c>
    </row>
    <row r="10">
      <c r="A10" s="21" t="inlineStr">
        <is>
          <t>Maria Soares</t>
        </is>
      </c>
      <c r="B10" s="21" t="n"/>
      <c r="C10" s="21" t="inlineStr">
        <is>
          <t>data não registrada</t>
        </is>
      </c>
      <c r="D10" s="21" t="inlineStr">
        <is>
          <t>#33 – Aniversário ilegível</t>
        </is>
      </c>
    </row>
    <row r="11">
      <c r="A11" s="21" t="inlineStr">
        <is>
          <t>Olímpia Straiotto Garcia</t>
        </is>
      </c>
      <c r="B11" s="22" t="n">
        <v>14324</v>
      </c>
      <c r="C11" s="22" t="n">
        <v>45397</v>
      </c>
      <c r="D11" s="21" t="inlineStr">
        <is>
          <t>#37 – Coordenadora Apostolado Comunidade Santa Luzia</t>
        </is>
      </c>
    </row>
    <row r="13">
      <c r="A13" s="23" t="inlineStr">
        <is>
          <t>Descansai em paz. Nossa oração vos acompanha. R.I.P.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55" customWidth="1" min="2" max="2"/>
  </cols>
  <sheetData>
    <row r="1">
      <c r="A1" s="5" t="inlineStr">
        <is>
          <t>Configurações do Sistema</t>
        </is>
      </c>
    </row>
    <row r="3">
      <c r="A3" s="10" t="inlineStr">
        <is>
          <t>Chave</t>
        </is>
      </c>
      <c r="B3" s="10" t="inlineStr">
        <is>
          <t>Valor</t>
        </is>
      </c>
    </row>
    <row r="4">
      <c r="A4" t="inlineStr">
        <is>
          <t>paroquia</t>
        </is>
      </c>
      <c r="B4" t="inlineStr">
        <is>
          <t>Paróquia São Jorge</t>
        </is>
      </c>
    </row>
    <row r="5">
      <c r="A5" t="inlineStr">
        <is>
          <t>diocese</t>
        </is>
      </c>
      <c r="B5" t="inlineStr">
        <is>
          <t>Diocese de Limeira</t>
        </is>
      </c>
    </row>
    <row r="6">
      <c r="A6" t="inlineStr">
        <is>
          <t>cidade</t>
        </is>
      </c>
      <c r="B6" t="inlineStr">
        <is>
          <t>Nova Odessa</t>
        </is>
      </c>
    </row>
    <row r="7">
      <c r="A7" t="inlineStr">
        <is>
          <t>estado</t>
        </is>
      </c>
      <c r="B7" t="inlineStr">
        <is>
          <t>SP</t>
        </is>
      </c>
    </row>
    <row r="8">
      <c r="A8" t="inlineStr">
        <is>
          <t>coordenador</t>
        </is>
      </c>
      <c r="B8" t="inlineStr">
        <is>
          <t>Luiz Antônio</t>
        </is>
      </c>
    </row>
    <row r="9">
      <c r="A9" t="inlineStr">
        <is>
          <t>coordenadora</t>
        </is>
      </c>
      <c r="B9" t="inlineStr">
        <is>
          <t>Luíza Regina</t>
        </is>
      </c>
    </row>
    <row r="10">
      <c r="A10" t="inlineStr">
        <is>
          <t>comunidades</t>
        </is>
      </c>
      <c r="B10" t="inlineStr">
        <is>
          <t>Santa Luzia · Santa Dulce dos Pobres · N. Sra. de Fátima</t>
        </is>
      </c>
    </row>
    <row r="11">
      <c r="A11" t="inlineStr">
        <is>
          <t>arquivo_excel</t>
        </is>
      </c>
      <c r="B11" t="inlineStr">
        <is>
          <t>apostolado.xlsx</t>
        </is>
      </c>
    </row>
    <row r="12">
      <c r="A12" t="inlineStr">
        <is>
          <t>backup_automatico</t>
        </is>
      </c>
      <c r="B12" t="inlineStr">
        <is>
          <t>Sim</t>
        </is>
      </c>
    </row>
    <row r="13">
      <c r="A13" t="inlineStr">
        <is>
          <t>dias_backup</t>
        </is>
      </c>
      <c r="B13" t="inlineStr">
        <is>
          <t>30</t>
        </is>
      </c>
    </row>
    <row r="14">
      <c r="A14" t="inlineStr">
        <is>
          <t>tema_cor</t>
        </is>
      </c>
      <c r="B14" t="inlineStr">
        <is>
          <t>#6A1B9A</t>
        </is>
      </c>
    </row>
    <row r="15">
      <c r="A15" t="inlineStr">
        <is>
          <t>whatsapp_coordenador</t>
        </is>
      </c>
      <c r="B15" t="inlineStr"/>
    </row>
    <row r="16">
      <c r="A16" t="inlineStr">
        <is>
          <t>observacoes_sistema</t>
        </is>
      </c>
      <c r="B16" t="inlineStr">
        <is>
          <t>Sistema Apostolado da Oração – Nova Odessa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 outlineLevelCol="0"/>
  <cols>
    <col width="90" customWidth="1" min="1" max="1"/>
  </cols>
  <sheetData>
    <row r="1">
      <c r="A1" s="24" t="inlineStr">
        <is>
          <t xml:space="preserve">COMO USAR ESTE SISTEMA
Paróquia São Jorge · Apostolado da Oração · Nova Odessa – SP
1. PARA CONSULTAR UM MEMBRO
   Clique na aba Membros. Use Ctrl+F para buscar pelo nome.
2. PARA ADICIONAR UM NOVO MEMBRO
   Vá até a última linha com dados na aba Membros.
   Preencha cada coluna na linha seguinte.
   Não apague as fórmulas das colunas Idade e Tempo Apostolado.
3. PARA PLANEJAR UMA VISITA
   Clique na aba Rota de Visitas. Veja os membros por bairro.
   Escolha o item a entregar e marque S após cada visita.
4. PARA VER ANIVERSÁRIOS
   Clique na aba Aniversários.
   Amarelo = mês atual. Verde = próximos 7 dias.
5. PARA CORRIGIR INCONSISTÊNCIAS
   Clique na aba Inconsistências.
   Ao resolver, marque Sim na coluna Resolvida?
6. PARA GUARDAR COM SEGURANÇA
   Salve uma cópia mensal: Apostolado_Jun2026.xlsx, etc.
DÚVIDAS? Procure o coordenador ou a coordenadora do Apostolado.
"A ordem no trabalho ordinário é forma excelente de amar a Deus."
— São Josemaría Escrivá
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F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2026-06-04T16:46:32Z</dcterms:created>
  <dcterms:modified xmlns:dcterms="http://purl.org/dc/terms/" xmlns:xsi="http://www.w3.org/2001/XMLSchema-instance" xsi:type="dcterms:W3CDTF">2026-06-04T16:46:33Z</dcterms:modified>
</cp:coreProperties>
</file>